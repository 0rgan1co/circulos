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negocio (anual) " sheetId="1" r:id="rId4"/>
    <sheet state="visible" name="Unidad económica" sheetId="2" r:id="rId5"/>
    <sheet state="visible" name="Resumen Mkt" sheetId="3" r:id="rId6"/>
    <sheet state="visible" name="Estrategias Marketing" sheetId="4" r:id="rId7"/>
    <sheet state="visible" name="CashFlow 60m" sheetId="5" r:id="rId8"/>
    <sheet state="visible" name="Objetivos" sheetId="6" r:id="rId9"/>
    <sheet state="visible" name="Datos" sheetId="7" r:id="rId10"/>
    <sheet state="visible" name="Presupuesto Eventos" sheetId="8" r:id="rId11"/>
    <sheet state="visible" name="Horas.Esfuerzo.Facilitacion" sheetId="9" r:id="rId12"/>
  </sheets>
  <definedNames>
    <definedName name="Precio_climaTech">'Unidad económica'!$B$7</definedName>
    <definedName name="CantidadGrupos">'Caso de negocio (anual) '!$C$6</definedName>
    <definedName name="Precio_regular">'Unidad económica'!$B$6</definedName>
    <definedName name="TC_USD_ARS">Horas.Esfuerzo.Facilitacion!$G$1</definedName>
  </definedNames>
  <calcPr/>
  <extLst>
    <ext uri="GoogleSheetsCustomDataVersion2">
      <go:sheetsCustomData xmlns:go="http://customooxmlschemas.google.com/" r:id="rId13" roundtripDataChecksum="MC9fDKHm4/CmkfIWus99ZC6sIoHTjnN1xj6vIv5yBOo="/>
    </ext>
  </extLst>
</workbook>
</file>

<file path=xl/sharedStrings.xml><?xml version="1.0" encoding="utf-8"?>
<sst xmlns="http://schemas.openxmlformats.org/spreadsheetml/2006/main" count="528" uniqueCount="462">
  <si>
    <t>CASO DE NEGOCIO - CÍRCULOS CLIMATECH</t>
  </si>
  <si>
    <t>Programa de antifragilidad financiera para startups climate tech</t>
  </si>
  <si>
    <t>INGRESOS</t>
  </si>
  <si>
    <t>Concepto</t>
  </si>
  <si>
    <t>Detalle</t>
  </si>
  <si>
    <t>Monto USD</t>
  </si>
  <si>
    <t>%</t>
  </si>
  <si>
    <t>Cantidad de grupos</t>
  </si>
  <si>
    <t>4 grupos de 10 personas</t>
  </si>
  <si>
    <t>Suscripciones de Startups</t>
  </si>
  <si>
    <t xml:space="preserve">40 founders en el año 1 </t>
  </si>
  <si>
    <t>Grant capital semilla</t>
  </si>
  <si>
    <t>Inicial</t>
  </si>
  <si>
    <t>TOTAL INGRESOS</t>
  </si>
  <si>
    <t>EGRESOS</t>
  </si>
  <si>
    <t>Categoría</t>
  </si>
  <si>
    <t>Honorarios facilitación</t>
  </si>
  <si>
    <t>50% de ingresos (8 facilitadores para 4 grupos)</t>
  </si>
  <si>
    <t>Eventos de adquisición</t>
  </si>
  <si>
    <t xml:space="preserve">16 eventos × $825 (4 pde 50p x Q) </t>
  </si>
  <si>
    <t>Marketing y research</t>
  </si>
  <si>
    <t xml:space="preserve">responsable de difusion y eventos </t>
  </si>
  <si>
    <t>DETALLE MARKETING (ver hoja "Estrategias Marketing")</t>
  </si>
  <si>
    <t xml:space="preserve">  Base anterior</t>
  </si>
  <si>
    <t>Reducido (facilitadores impulsan)</t>
  </si>
  <si>
    <t xml:space="preserve">  + Historias con Impacto</t>
  </si>
  <si>
    <t xml:space="preserve">  + Mini Research Hub</t>
  </si>
  <si>
    <t>Gastos logísticos</t>
  </si>
  <si>
    <t>Imprevistos</t>
  </si>
  <si>
    <t>TOTAL EGRESOS</t>
  </si>
  <si>
    <t>BALANCE (I-E)</t>
  </si>
  <si>
    <t>DISTRIBUCIÓN SOCIOS (50/50)</t>
  </si>
  <si>
    <t>Fondo Aliados Locales (50%)</t>
  </si>
  <si>
    <t>Fondo Equipo Estratégico (50%)</t>
  </si>
  <si>
    <t>CÍRCULOS CLIMATECH - UNIT ECONOMICS POR GRUPO</t>
  </si>
  <si>
    <t>Análisis de unidad mínima viable (1 grupo de 10 founders)</t>
  </si>
  <si>
    <t>INPUTS - GRUPO ESTÁNDAR</t>
  </si>
  <si>
    <t>INGRESOS ANUALES - 1 GRUPO</t>
  </si>
  <si>
    <t>Founders por grupo</t>
  </si>
  <si>
    <t>Founders regulares (No base cientifica-tech)</t>
  </si>
  <si>
    <t>Precio mensual (regular)</t>
  </si>
  <si>
    <t>Founders ClimaTech</t>
  </si>
  <si>
    <t>Precio mensual (ClimaTech 20% menos)</t>
  </si>
  <si>
    <t>Founders anual (No base cientifica-tech)</t>
  </si>
  <si>
    <t>% bonificacion ClimaTech</t>
  </si>
  <si>
    <t>Founders anual ClimaTech</t>
  </si>
  <si>
    <t>% bonificacion anual</t>
  </si>
  <si>
    <t>% bonificacion anual ClimaTech</t>
  </si>
  <si>
    <t>Revenue mensual regulares</t>
  </si>
  <si>
    <t>Precio trimestral (regular)</t>
  </si>
  <si>
    <t>Revenue mensual ClimaTech</t>
  </si>
  <si>
    <t>Precio trimestral (ClimaTech)</t>
  </si>
  <si>
    <t>Revenue mensual regulares (pago anual)</t>
  </si>
  <si>
    <t>Precio anual (regular)</t>
  </si>
  <si>
    <t>Revenue mensual ClimaTech (pago anual)</t>
  </si>
  <si>
    <t>Precio anual (ClimaTech acumulado 30% menos)</t>
  </si>
  <si>
    <t>MRR por grupo</t>
  </si>
  <si>
    <t>ARR por grupo (aprox)</t>
  </si>
  <si>
    <t>Facilitadores por grupo</t>
  </si>
  <si>
    <t>% revenue share facilitadores</t>
  </si>
  <si>
    <t>EGRESOS ANUALES - 1 GRUPO</t>
  </si>
  <si>
    <t>Facilitadores (50% revenue)</t>
  </si>
  <si>
    <t>Eventos adquisición/trimestre</t>
  </si>
  <si>
    <t>Eventos adquisición (prorata)</t>
  </si>
  <si>
    <t>Asume 4 grupos</t>
  </si>
  <si>
    <t>Costo por evento</t>
  </si>
  <si>
    <t>Marketing (prorata)</t>
  </si>
  <si>
    <t>Base $5k + Historias $2850 + Research $625</t>
  </si>
  <si>
    <t>Asistentes por evento</t>
  </si>
  <si>
    <t>Gestión comercial (prorata)</t>
  </si>
  <si>
    <t>Conv eventos → leads (%)</t>
  </si>
  <si>
    <t>Operativa (prorata)</t>
  </si>
  <si>
    <t>Cantidad de Leads (trimestral)</t>
  </si>
  <si>
    <t>Tech/oficina (prorata)</t>
  </si>
  <si>
    <t>Conv leads → clientes (%)</t>
  </si>
  <si>
    <t>Logística (prorata)</t>
  </si>
  <si>
    <t>Cantidad de Clientes (trimestral)</t>
  </si>
  <si>
    <t>Imprevistos (prorata)</t>
  </si>
  <si>
    <t>UNIT ECONOMICS</t>
  </si>
  <si>
    <t>Total Egresos</t>
  </si>
  <si>
    <t>LTV (12 meses)</t>
  </si>
  <si>
    <t>CAC por cliente</t>
  </si>
  <si>
    <t>BALANCE POR GRUPO</t>
  </si>
  <si>
    <t>LTV:CAC ratio</t>
  </si>
  <si>
    <t>ARR neto</t>
  </si>
  <si>
    <t>Payback period (meses)</t>
  </si>
  <si>
    <t>Balance Neto</t>
  </si>
  <si>
    <t>Clientes por evento</t>
  </si>
  <si>
    <t>CAC por evento</t>
  </si>
  <si>
    <t>Margen Bruto</t>
  </si>
  <si>
    <t>Margen Neto</t>
  </si>
  <si>
    <t>RESUMEN EJECUTIVO - ESTRATEGIA DE MKT</t>
  </si>
  <si>
    <t>Círculos Impacto+ | Enero 2026</t>
  </si>
  <si>
    <t>1. ESTRATEGIAS COMPLEMENTARIAS</t>
  </si>
  <si>
    <t>Estrategia</t>
  </si>
  <si>
    <t>Costo Anual</t>
  </si>
  <si>
    <t>Leads/Año</t>
  </si>
  <si>
    <t>Clientes/Año</t>
  </si>
  <si>
    <t>Descripción</t>
  </si>
  <si>
    <t>A</t>
  </si>
  <si>
    <t>Almuerzos Networking</t>
  </si>
  <si>
    <t>$0</t>
  </si>
  <si>
    <t>27</t>
  </si>
  <si>
    <t>3</t>
  </si>
  <si>
    <t>Autofinanciados, 1/mes, 5 a 7 personas</t>
  </si>
  <si>
    <t>B</t>
  </si>
  <si>
    <t>Historias con Impacto</t>
  </si>
  <si>
    <t>$11,400</t>
  </si>
  <si>
    <t>40</t>
  </si>
  <si>
    <t>4</t>
  </si>
  <si>
    <t>Research + storytelling, unidad on-demand</t>
  </si>
  <si>
    <t>C</t>
  </si>
  <si>
    <t>Mini Research Hub</t>
  </si>
  <si>
    <t>$2,500</t>
  </si>
  <si>
    <t>15</t>
  </si>
  <si>
    <t>1-2</t>
  </si>
  <si>
    <t xml:space="preserve">Policy briefs ClimaTech </t>
  </si>
  <si>
    <t>TOTAL NUEVAS</t>
  </si>
  <si>
    <t>$13,900</t>
  </si>
  <si>
    <t>82</t>
  </si>
  <si>
    <t>8-9</t>
  </si>
  <si>
    <t>Complementa los 4 eventos trimestrales</t>
  </si>
  <si>
    <t>2. ANÁLISIS COMPARATIVO (por grupo)</t>
  </si>
  <si>
    <t>Métrica</t>
  </si>
  <si>
    <t>Baseline</t>
  </si>
  <si>
    <t>Con Nuevas</t>
  </si>
  <si>
    <t>Variación</t>
  </si>
  <si>
    <t>% Cambio</t>
  </si>
  <si>
    <t>Comentario</t>
  </si>
  <si>
    <t>Marketing por grupo</t>
  </si>
  <si>
    <t>$5,000</t>
  </si>
  <si>
    <t>$8,475</t>
  </si>
  <si>
    <t>+$3,475</t>
  </si>
  <si>
    <t>+69.5%</t>
  </si>
  <si>
    <t>Mayor alcance por $ invertido</t>
  </si>
  <si>
    <t>Marketing anual (4 grupos)</t>
  </si>
  <si>
    <t>$20,000</t>
  </si>
  <si>
    <t>$33,900</t>
  </si>
  <si>
    <t>+$13,900</t>
  </si>
  <si>
    <t>Leads totales/año</t>
  </si>
  <si>
    <t>300</t>
  </si>
  <si>
    <t>382</t>
  </si>
  <si>
    <t>+82</t>
  </si>
  <si>
    <t>+27.3%</t>
  </si>
  <si>
    <t>Diversificación de fuentes</t>
  </si>
  <si>
    <t>Clientes totales/año</t>
  </si>
  <si>
    <t>30</t>
  </si>
  <si>
    <t>38-39</t>
  </si>
  <si>
    <t>+8-9</t>
  </si>
  <si>
    <t>+27%</t>
  </si>
  <si>
    <t>CAC (Costo/Cliente)</t>
  </si>
  <si>
    <t>$440</t>
  </si>
  <si>
    <t>$186</t>
  </si>
  <si>
    <t>-$254</t>
  </si>
  <si>
    <t>-57.7%</t>
  </si>
  <si>
    <t>🎯 Mejora significativa</t>
  </si>
  <si>
    <t>ROI (Revenue/Costo)</t>
  </si>
  <si>
    <t>9.6x</t>
  </si>
  <si>
    <t>18.2x</t>
  </si>
  <si>
    <t>+8.6x</t>
  </si>
  <si>
    <t>+89.6%</t>
  </si>
  <si>
    <t>🎯 Casi duplica rentabilidad</t>
  </si>
  <si>
    <t>3. PLAN DE IMPLEMENTACIÓN</t>
  </si>
  <si>
    <t>Fase</t>
  </si>
  <si>
    <t>Timing</t>
  </si>
  <si>
    <t>Inversión</t>
  </si>
  <si>
    <t>Acciones Clave</t>
  </si>
  <si>
    <t>KPIs</t>
  </si>
  <si>
    <t>Status</t>
  </si>
  <si>
    <t>Setup</t>
  </si>
  <si>
    <t>Mes 1-2</t>
  </si>
  <si>
    <t>$1,900</t>
  </si>
  <si>
    <t>Contratar equipo
Primer almuerzo
Primera historia</t>
  </si>
  <si>
    <t>&gt;12 asistentes
1 historia</t>
  </si>
  <si>
    <t>🔵 Iniciar</t>
  </si>
  <si>
    <t>Validación</t>
  </si>
  <si>
    <t>Mes 3-6</t>
  </si>
  <si>
    <t>$3,800</t>
  </si>
  <si>
    <t>3 historias
3 almuerzos
Medir engagement</t>
  </si>
  <si>
    <t>CTR &gt;5%
3 leads/mes</t>
  </si>
  <si>
    <t>⚪ Pendiente</t>
  </si>
  <si>
    <t>Scale</t>
  </si>
  <si>
    <t>Mes 7-12</t>
  </si>
  <si>
    <t>$8,200</t>
  </si>
  <si>
    <t>Policy brief
Webinar
6 almuerzos</t>
  </si>
  <si>
    <t>200 descargas
30 asistentes</t>
  </si>
  <si>
    <t>4. RECOMENDACIÓN Y PRÓXIMOS PASOS</t>
  </si>
  <si>
    <t>✅ RECOMENDACIÓN: REFINAR E IMPLEMENTAR</t>
  </si>
  <si>
    <t>• Diversificar fuentes de leads: reduce dependencia de eventos presenciales</t>
  </si>
  <si>
    <t>• Construye autoridad de marca a mediano plazo (research + contenido)</t>
  </si>
  <si>
    <t>• Modelo escalable: prorrateo de costos compartidos entre grupos</t>
  </si>
  <si>
    <t>🎯 PRÓXIMOS PASOS INMEDIATOS (Semana 1-2):</t>
  </si>
  <si>
    <t xml:space="preserve">   1. Verificar "capital semilla" para presupuesto estrategias de atracción: $13,900/año</t>
  </si>
  <si>
    <t xml:space="preserve">   2. Contratar horas de equipo on-demand: researcher + content writer </t>
  </si>
  <si>
    <t xml:space="preserve">   3. Agendar primer almuerzo networking (10 invitados)</t>
  </si>
  <si>
    <t xml:space="preserve">   4. Definir primea ronda de 3 "Historia con Impacto"</t>
  </si>
  <si>
    <t>📊 MÉTRICAS A SEGUIR (primeros 90 días):</t>
  </si>
  <si>
    <t xml:space="preserve">   • Asistencia almuerzos: &gt;5 founders/almuerzo</t>
  </si>
  <si>
    <t xml:space="preserve">   • CTR historias LinkedIn: &gt;3%</t>
  </si>
  <si>
    <t xml:space="preserve">   • Leads inbound: &gt;2/mes</t>
  </si>
  <si>
    <t>ESTRATEGIAS DE ATRACCIÓN Y CONVERSIÓN DE LEADS</t>
  </si>
  <si>
    <t>Programa Círculos Impacto+ (actualizado)</t>
  </si>
  <si>
    <t>ESTRATEGIA ACTUAL (Baseline)</t>
  </si>
  <si>
    <t>Frecuencia/Cantidad</t>
  </si>
  <si>
    <t>Costo Unitario</t>
  </si>
  <si>
    <t>Eventos presenciales</t>
  </si>
  <si>
    <t>16 eventos/año</t>
  </si>
  <si>
    <t>Marketing y research base</t>
  </si>
  <si>
    <t>Anual</t>
  </si>
  <si>
    <t>-</t>
  </si>
  <si>
    <t>TOTAL ACTUAL</t>
  </si>
  <si>
    <t>NUEVAS ESTRATEGIAS DE MARKETING (Propuesta)</t>
  </si>
  <si>
    <t>Recursos</t>
  </si>
  <si>
    <t>Costo Mensual</t>
  </si>
  <si>
    <t>Leads Est./Año</t>
  </si>
  <si>
    <t>Clientes Est./Año</t>
  </si>
  <si>
    <t>Notas</t>
  </si>
  <si>
    <t>1. Almuerzos Networking</t>
  </si>
  <si>
    <t>Autofinanciado por asistentes</t>
  </si>
  <si>
    <t>1/mes, 15 personas, conv 15%→10%</t>
  </si>
  <si>
    <t xml:space="preserve">   Coordinación</t>
  </si>
  <si>
    <t>2h/mes rol equipo del día a día</t>
  </si>
  <si>
    <t>Sin costo adicional</t>
  </si>
  <si>
    <t xml:space="preserve">   Venue</t>
  </si>
  <si>
    <t>Restaurante (consumo 70KARS/persona)</t>
  </si>
  <si>
    <t>Sin costo operativo</t>
  </si>
  <si>
    <t>2. Historias con Impacto</t>
  </si>
  <si>
    <t>Research + storytelling</t>
  </si>
  <si>
    <t>Unidad on-demand</t>
  </si>
  <si>
    <t xml:space="preserve">   Researcher junior</t>
  </si>
  <si>
    <t>20h/mes × $25/h</t>
  </si>
  <si>
    <t>Freelance</t>
  </si>
  <si>
    <t xml:space="preserve">   Content writer</t>
  </si>
  <si>
    <t>15h/mes × $30/h</t>
  </si>
  <si>
    <t>Periodista freelance</t>
  </si>
  <si>
    <t xml:space="preserve">   Entregables</t>
  </si>
  <si>
    <t>12 casos + 4 briefs/año</t>
  </si>
  <si>
    <t>36 piezas contenido</t>
  </si>
  <si>
    <t>3. Mini Research Hub</t>
  </si>
  <si>
    <t>Autoridad temática</t>
  </si>
  <si>
    <t>Estilo Civic Compass</t>
  </si>
  <si>
    <t xml:space="preserve">   Policy brief anual</t>
  </si>
  <si>
    <t>1 investigación/año</t>
  </si>
  <si>
    <t>Co-branded con universidades</t>
  </si>
  <si>
    <t xml:space="preserve">   Webinars divulgación</t>
  </si>
  <si>
    <t>2 eventos/año × 30 asist</t>
  </si>
  <si>
    <t>Incluido en costo research</t>
  </si>
  <si>
    <t>TOTAL NUEVAS ESTRATEGIAS</t>
  </si>
  <si>
    <t>ANÁLISIS COMPARATIVO</t>
  </si>
  <si>
    <t>Inversión Marketing por Grupo</t>
  </si>
  <si>
    <t>Inversión Marketing Anual (4 grupos)</t>
  </si>
  <si>
    <t>Leads Totales/Año</t>
  </si>
  <si>
    <t>Clientes Totales/Año</t>
  </si>
  <si>
    <t>Costo por Lead</t>
  </si>
  <si>
    <t>Costo por Cliente (CAC)</t>
  </si>
  <si>
    <t>TIMELINE DE IMPLEMENTACIÓN</t>
  </si>
  <si>
    <t>Periodo</t>
  </si>
  <si>
    <t>Acciones</t>
  </si>
  <si>
    <t>Hitos Clave</t>
  </si>
  <si>
    <t>SETUP</t>
  </si>
  <si>
    <t>Contratar researcher + writer
Crear templates historias
Lanzar 1er almuerzo</t>
  </si>
  <si>
    <t>15 asistentes almuerzo
1 historia publicada</t>
  </si>
  <si>
    <t>VALIDACIÓN</t>
  </si>
  <si>
    <t>Publicar 3 historias
Medir engagement
3 almuerzos más</t>
  </si>
  <si>
    <t>CTR &gt;5%
3+ leads inbound/mes
45 contactos totales</t>
  </si>
  <si>
    <t>ESCALAMIENTO</t>
  </si>
  <si>
    <t>Policy brief
1 webinar
6 almuerzos</t>
  </si>
  <si>
    <t>1 research publicado
30 asistentes webinar
90 contactos almuerzo</t>
  </si>
  <si>
    <t>KPIS Y MÉTRICAS</t>
  </si>
  <si>
    <t>KPI</t>
  </si>
  <si>
    <t>Target Mes 3</t>
  </si>
  <si>
    <t>Target Mes 6</t>
  </si>
  <si>
    <t>Target Año 1</t>
  </si>
  <si>
    <t>Almuerzos</t>
  </si>
  <si>
    <t>Asistencia promedio</t>
  </si>
  <si>
    <t>&gt;12</t>
  </si>
  <si>
    <t>&gt;15</t>
  </si>
  <si>
    <t>Leads generados</t>
  </si>
  <si>
    <t>8</t>
  </si>
  <si>
    <t>Historias</t>
  </si>
  <si>
    <t>CTR LinkedIn</t>
  </si>
  <si>
    <t>&gt;3%</t>
  </si>
  <si>
    <t>&gt;5%</t>
  </si>
  <si>
    <t>&gt;7%</t>
  </si>
  <si>
    <t>Shares por post</t>
  </si>
  <si>
    <t>&gt;10</t>
  </si>
  <si>
    <t>&gt;20</t>
  </si>
  <si>
    <t>Leads inbound</t>
  </si>
  <si>
    <t>2/mes</t>
  </si>
  <si>
    <t>3/mes</t>
  </si>
  <si>
    <t>4/mes</t>
  </si>
  <si>
    <t>Research</t>
  </si>
  <si>
    <t>Descargas policy brief</t>
  </si>
  <si>
    <t>&gt;200</t>
  </si>
  <si>
    <t>Asistentes webinar</t>
  </si>
  <si>
    <t>60 (2 eventos)</t>
  </si>
  <si>
    <t>General</t>
  </si>
  <si>
    <t>CAC blended</t>
  </si>
  <si>
    <t>&lt;$220</t>
  </si>
  <si>
    <t>&lt;$200</t>
  </si>
  <si>
    <t>Brand recall encuestas</t>
  </si>
  <si>
    <t>&gt;30%</t>
  </si>
  <si>
    <t>NOTA IMPORTANTE:</t>
  </si>
  <si>
    <t>Los costos de las nuevas estrategias (Historias + Research) son compartidos entre los 4 grupos.</t>
  </si>
  <si>
    <t>Por eso el costo incremental por grupo es menor que el costo total.</t>
  </si>
  <si>
    <t>DESGLOSE COSTO POR GRUPO:</t>
  </si>
  <si>
    <t>Marketing base (original)</t>
  </si>
  <si>
    <t>Compartido entre 4 grupos</t>
  </si>
  <si>
    <t>TOTAL POR GRUPO</t>
  </si>
  <si>
    <t>TOTAL ANUAL (×4)</t>
  </si>
  <si>
    <t>CÍRCULOS CLIMATECH - CASH FLOW 60 MESES</t>
  </si>
  <si>
    <t>Apertura por grupos completos (10 founders/grupo)</t>
  </si>
  <si>
    <t>ASSUMPTIONS</t>
  </si>
  <si>
    <t>Founders/grupo</t>
  </si>
  <si>
    <t>MRR/grupo</t>
  </si>
  <si>
    <t>Grant inicial</t>
  </si>
  <si>
    <t>Churn grupos (anual Y2-5)</t>
  </si>
  <si>
    <t>CALENDARIO</t>
  </si>
  <si>
    <t>Año 1: M1, M7, M9, M11 (4 grupos = 40 founders)</t>
  </si>
  <si>
    <t>Año 2: +6 grupos (total 10 grupos = 100 founders)</t>
  </si>
  <si>
    <t>Año 3: +6 grupos (total 16 grupos = 160 founders)</t>
  </si>
  <si>
    <t>Año 4: +5 grupos (total 21 grupos = 210 founders)</t>
  </si>
  <si>
    <t>Año 5: +4 grupos (total 25 grupos = 250 founders)</t>
  </si>
  <si>
    <t>CONCEPTO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</si>
  <si>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</si>
  <si>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</si>
  <si>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</si>
  <si>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</si>
  <si>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</si>
  <si>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</si>
  <si>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</si>
  <si>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</si>
  <si>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</si>
  <si>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</si>
  <si>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</si>
  <si>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</si>
  <si>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Q1Y2</t>
  </si>
  <si>
    <t>Q2Y2</t>
  </si>
  <si>
    <t>Q3Y2</t>
  </si>
  <si>
    <t>Q4Y2</t>
  </si>
  <si>
    <t>Q1Y3</t>
  </si>
  <si>
    <t>Q2Y3</t>
  </si>
  <si>
    <t>Q3Y3</t>
  </si>
  <si>
    <t>Q4Y3</t>
  </si>
  <si>
    <t>Q1Y4</t>
  </si>
  <si>
    <t>Q2Y4</t>
  </si>
  <si>
    <t>Q3Y4</t>
  </si>
  <si>
    <t>Q4Y4</t>
  </si>
  <si>
    <t>Q1Y5</t>
  </si>
  <si>
    <t>Q2Y5</t>
  </si>
  <si>
    <t>Q3Y5</t>
  </si>
  <si>
    <t>Q4Y5</t>
  </si>
  <si>
    <t>Grupos inicio</t>
  </si>
  <si>
    <t>Nuevos grupos</t>
  </si>
  <si>
    <t>Grupos fin</t>
  </si>
  <si>
    <t>MRR</t>
  </si>
  <si>
    <t>Grant</t>
  </si>
  <si>
    <t>Total Ingresos</t>
  </si>
  <si>
    <t>Facilitadores</t>
  </si>
  <si>
    <t>Otros egresos</t>
  </si>
  <si>
    <t>Cash Flow (I-E)</t>
  </si>
  <si>
    <t>Saldo Acumulado</t>
  </si>
  <si>
    <t>OBJETIVOS POR ETAPA DEL FUNNEL</t>
  </si>
  <si>
    <t>Etapa</t>
  </si>
  <si>
    <t>Indicador</t>
  </si>
  <si>
    <t>Objetivo Trimestral</t>
  </si>
  <si>
    <t>Objetivo Mensual</t>
  </si>
  <si>
    <t>Atracción visitantes</t>
  </si>
  <si>
    <t>Asistentes a eventos informativos</t>
  </si>
  <si>
    <t>200 founders</t>
  </si>
  <si>
    <t>4 eventos de 50 founders</t>
  </si>
  <si>
    <t>Visitantes landing page</t>
  </si>
  <si>
    <t>5,000 visitantes</t>
  </si>
  <si>
    <t>1,667 visitantes</t>
  </si>
  <si>
    <t>Adquisición leads</t>
  </si>
  <si>
    <t>Leads calificados totales</t>
  </si>
  <si>
    <t>30-35 leads</t>
  </si>
  <si>
    <t>10-12 leads</t>
  </si>
  <si>
    <t>Tasa conversión eventos → leads</t>
  </si>
  <si>
    <t>Conversión clientes</t>
  </si>
  <si>
    <t>Suscriptores activos (pagando)</t>
  </si>
  <si>
    <t>9-10 clientes</t>
  </si>
  <si>
    <t>Tasa conversión leads → clientes</t>
  </si>
  <si>
    <t>Lead time promedio</t>
  </si>
  <si>
    <t>21 días</t>
  </si>
  <si>
    <t>Profundización</t>
  </si>
  <si>
    <t>Tasa de retención mensual (churn)</t>
  </si>
  <si>
    <t>&lt;5%</t>
  </si>
  <si>
    <t>NPS (Net Promoter Score)</t>
  </si>
  <si>
    <t>≥75</t>
  </si>
  <si>
    <t>Referidos</t>
  </si>
  <si>
    <t>% participantes que refieren</t>
  </si>
  <si>
    <t>40%</t>
  </si>
  <si>
    <t>Nuevos leads por referidos</t>
  </si>
  <si>
    <t>3-4 por trimestre</t>
  </si>
  <si>
    <t>DATOS DEL PROGRAMA</t>
  </si>
  <si>
    <t>MODELO DE PRECIOS</t>
  </si>
  <si>
    <t>Precio Mensual</t>
  </si>
  <si>
    <t>Precio Anual</t>
  </si>
  <si>
    <t>Regular (mensual)</t>
  </si>
  <si>
    <t>$500</t>
  </si>
  <si>
    <t>$6,000</t>
  </si>
  <si>
    <t>Regular (anual con 10% desc)</t>
  </si>
  <si>
    <t>$450 equiv</t>
  </si>
  <si>
    <t>$5,400</t>
  </si>
  <si>
    <t>ClimaTech (mensual con 10% desc)</t>
  </si>
  <si>
    <t>$450</t>
  </si>
  <si>
    <t>ClimaTech (anual con 20% desc)</t>
  </si>
  <si>
    <t>$400 equiv</t>
  </si>
  <si>
    <t>$4,800</t>
  </si>
  <si>
    <t>ESTRUCTURA DEL PROGRAMA</t>
  </si>
  <si>
    <t>Tamaño de grupo</t>
  </si>
  <si>
    <t>10-12 participantes por grupo</t>
  </si>
  <si>
    <t>2 facilitadores senior</t>
  </si>
  <si>
    <t>Encuentros presenciales</t>
  </si>
  <si>
    <t>4 por año (1 por trimestre)</t>
  </si>
  <si>
    <t>Sesiones 1:1</t>
  </si>
  <si>
    <t>Onboarding</t>
  </si>
  <si>
    <t>2 horas individual</t>
  </si>
  <si>
    <t>Duración membresía</t>
  </si>
  <si>
    <t>Trimestral mínima</t>
  </si>
  <si>
    <t>Meta año 1</t>
  </si>
  <si>
    <t>4 grupos = 36-44 clientes</t>
  </si>
  <si>
    <t>PRESUPUESTO EVENTOS DE ADQUISICIÓN</t>
  </si>
  <si>
    <t>DETALLE POR EVENTO (50 personas)</t>
  </si>
  <si>
    <t>Cantidad</t>
  </si>
  <si>
    <t>Precio Unit</t>
  </si>
  <si>
    <t>Total USD</t>
  </si>
  <si>
    <t>Catering</t>
  </si>
  <si>
    <t>Logística y materiales</t>
  </si>
  <si>
    <t>TOTAL POR EVENTO</t>
  </si>
  <si>
    <t>PROYECCIÓN ANUAL</t>
  </si>
  <si>
    <t>Eventos por trimestre</t>
  </si>
  <si>
    <t>Cantidad participantes por evento</t>
  </si>
  <si>
    <t>Total eventos año</t>
  </si>
  <si>
    <t>Asistentes totales año</t>
  </si>
  <si>
    <t>PRESUPUESTO TOTAL ANUAL</t>
  </si>
  <si>
    <t>Cantidad de Leads (anual)</t>
  </si>
  <si>
    <t>Cantidad de Clientes (5% de la participacion anual)</t>
  </si>
  <si>
    <t>Dimensión</t>
  </si>
  <si>
    <t>USD</t>
  </si>
  <si>
    <t>Pesos</t>
  </si>
  <si>
    <t>TC</t>
  </si>
  <si>
    <t>Consultoria</t>
  </si>
  <si>
    <t>Facilitación</t>
  </si>
  <si>
    <t>Eje</t>
  </si>
  <si>
    <t>Actividades trimestrales</t>
  </si>
  <si>
    <t>Horas</t>
  </si>
  <si>
    <t>Repeticiones</t>
  </si>
  <si>
    <t>Cant. de facilitadores</t>
  </si>
  <si>
    <t>Total (USD)</t>
  </si>
  <si>
    <t>Total ($)</t>
  </si>
  <si>
    <t xml:space="preserve">RESEARCH + REFINAMIENTO </t>
  </si>
  <si>
    <t>Founder #1: clarificar y preparar "desafios"</t>
  </si>
  <si>
    <t>Founder #2: clarificar y preparar "desafios"</t>
  </si>
  <si>
    <t xml:space="preserve">SESIONES GRUPALES </t>
  </si>
  <si>
    <t>Startup #1: Encuentro aprendizaje entre partes / cosecha aprendizajes</t>
  </si>
  <si>
    <t>SESIONES INDIVIDUALES</t>
  </si>
  <si>
    <t>Encuentros 1:1 para trabajar plan de mejora individual</t>
  </si>
  <si>
    <t>trimestral</t>
  </si>
  <si>
    <t>mensual (min 1k usd)</t>
  </si>
  <si>
    <t>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</si>
</sst>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$#,##0"/>
    <numFmt numFmtId="165" formatCode="0.0%"/>
    <numFmt numFmtId="166" formatCode="[$ $]#,##0"/>
    <numFmt numFmtId="167" formatCode="0.0&quot;x&quot;"/>
    <numFmt numFmtId="168" formatCode="0.0"/>
    <numFmt numFmtId="169" formatCode="$#,##0;($#,##0);-"/>
    <numFmt numFmtId="170" formatCode="$#,##0;($#,##0)"/>
    <numFmt numFmtId="171" formatCode="$#,##0.00"/>
    <numFmt numFmtId="172" formatCode="[$$]#,##0"/>
  </numFmts>
  <fonts count="35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11.0"/>
      <color theme="1"/>
      <name val="Calibri"/>
    </font>
    <font>
      <i/>
      <sz val="10.0"/>
      <color theme="1"/>
      <name val="Calibri"/>
    </font>
    <font>
      <b/>
      <sz val="12.0"/>
      <color theme="1"/>
      <name val="Calibri"/>
    </font>
    <font>
      <b/>
      <color theme="1"/>
      <name val="Calibri"/>
    </font>
    <font>
      <color theme="1"/>
      <name val="Calibri"/>
    </font>
    <font>
      <i/>
      <sz val="9.0"/>
      <color theme="1"/>
      <name val="Calibri"/>
      <scheme val="minor"/>
    </font>
    <font>
      <sz val="9.0"/>
      <color theme="1"/>
      <name val="Calibri"/>
      <scheme val="minor"/>
    </font>
    <font>
      <b/>
      <sz val="13.0"/>
      <color theme="1"/>
      <name val="Calibri"/>
    </font>
    <font>
      <b/>
      <sz val="14.0"/>
      <color rgb="FF16A085"/>
      <name val="Calibri"/>
    </font>
    <font>
      <i/>
      <color rgb="FF7F8C8D"/>
      <name val="Calibri"/>
    </font>
    <font>
      <b/>
      <sz val="11.0"/>
      <color rgb="FFFFFFFF"/>
      <name val="Calibri"/>
    </font>
    <font>
      <b/>
      <sz val="11.0"/>
      <color rgb="FF0000FF"/>
      <name val="Calibri"/>
    </font>
    <font>
      <b/>
      <sz val="11.0"/>
      <color theme="1"/>
      <name val="Calibri"/>
    </font>
    <font>
      <color theme="1"/>
      <name val="Calibri"/>
      <scheme val="minor"/>
    </font>
    <font>
      <i/>
      <sz val="9.0"/>
      <color rgb="FF7F8C8D"/>
      <name val="Calibri"/>
    </font>
    <font>
      <b/>
      <sz val="14.0"/>
      <color theme="1"/>
      <name val="Calibri"/>
      <scheme val="minor"/>
    </font>
    <font>
      <i/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1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theme="1"/>
      <name val="Calibri"/>
      <scheme val="minor"/>
    </font>
    <font>
      <i/>
      <color theme="1"/>
      <name val="Calibri"/>
      <scheme val="minor"/>
    </font>
    <font>
      <b/>
      <sz val="14.0"/>
      <color rgb="FF2C5F2D"/>
      <name val="Calibri"/>
    </font>
    <font>
      <i/>
      <color theme="1"/>
      <name val="Calibri"/>
    </font>
    <font>
      <b/>
      <color rgb="FFFFFFFF"/>
      <name val="Arial"/>
    </font>
    <font>
      <color rgb="FF1565C0"/>
      <name val="Arial"/>
    </font>
    <font>
      <i/>
      <sz val="9.0"/>
      <color theme="1"/>
      <name val="Calibri"/>
    </font>
    <font>
      <b/>
      <color theme="1"/>
      <name val="Arial"/>
    </font>
    <font>
      <b/>
      <sz val="14.0"/>
      <color rgb="FFFFFFFF"/>
      <name val="Calibri"/>
    </font>
    <font>
      <color theme="1"/>
      <name val="Arial"/>
    </font>
  </fonts>
  <fills count="33">
    <fill>
      <patternFill patternType="none"/>
    </fill>
    <fill>
      <patternFill patternType="lightGray"/>
    </fill>
    <fill>
      <patternFill patternType="solid">
        <fgColor rgb="FF333659"/>
        <bgColor rgb="FF333659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D966"/>
        <bgColor rgb="FFFFD966"/>
      </patternFill>
    </fill>
    <fill>
      <patternFill patternType="solid">
        <fgColor rgb="FF2C3E50"/>
        <bgColor rgb="FF2C3E50"/>
      </patternFill>
    </fill>
    <fill>
      <patternFill patternType="solid">
        <fgColor rgb="FF16A085"/>
        <bgColor rgb="FF16A085"/>
      </patternFill>
    </fill>
    <fill>
      <patternFill patternType="solid">
        <fgColor rgb="FFFFFF00"/>
        <bgColor rgb="FFFFFF00"/>
      </patternFill>
    </fill>
    <fill>
      <patternFill patternType="solid">
        <fgColor rgb="FFE8F8F5"/>
        <bgColor rgb="FFE8F8F5"/>
      </patternFill>
    </fill>
    <fill>
      <patternFill patternType="solid">
        <fgColor rgb="FFE74C3C"/>
        <bgColor rgb="FFE74C3C"/>
      </patternFill>
    </fill>
    <fill>
      <patternFill patternType="solid">
        <fgColor rgb="FFFADBD8"/>
        <bgColor rgb="FFFADBD8"/>
      </patternFill>
    </fill>
    <fill>
      <patternFill patternType="solid">
        <fgColor rgb="FFF39C12"/>
        <bgColor rgb="FFF39C12"/>
      </patternFill>
    </fill>
    <fill>
      <patternFill patternType="solid">
        <fgColor rgb="FFFCF3CF"/>
        <bgColor rgb="FFFCF3CF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rgb="FFC00000"/>
        <bgColor rgb="FFC00000"/>
      </patternFill>
    </fill>
    <fill>
      <patternFill patternType="solid">
        <fgColor rgb="FFD3D3D3"/>
        <bgColor rgb="FFD3D3D3"/>
      </patternFill>
    </fill>
    <fill>
      <patternFill patternType="solid">
        <fgColor rgb="FFB4C7E7"/>
        <bgColor rgb="FFB4C7E7"/>
      </patternFill>
    </fill>
    <fill>
      <patternFill patternType="solid">
        <fgColor rgb="FFC6E0B4"/>
        <bgColor rgb="FFC6E0B4"/>
      </patternFill>
    </fill>
    <fill>
      <patternFill patternType="solid">
        <fgColor rgb="FF97BC62"/>
        <bgColor rgb="FF97BC62"/>
      </patternFill>
    </fill>
    <fill>
      <patternFill patternType="solid">
        <fgColor rgb="FFFFF4E6"/>
        <bgColor rgb="FFFFF4E6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4B084"/>
        <bgColor rgb="FFF4B084"/>
      </patternFill>
    </fill>
    <fill>
      <patternFill patternType="solid">
        <fgColor rgb="FF9DC3E6"/>
        <bgColor rgb="FF9DC3E6"/>
      </patternFill>
    </fill>
    <fill>
      <patternFill patternType="solid">
        <fgColor rgb="FFE7B5D1"/>
        <bgColor rgb="FFE7B5D1"/>
      </patternFill>
    </fill>
    <fill>
      <patternFill patternType="solid">
        <fgColor rgb="FFCCCCCC"/>
        <bgColor rgb="FFCC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1" fillId="3" fontId="5" numFmtId="0" xfId="0" applyBorder="1" applyFill="1" applyFont="1"/>
    <xf borderId="4" fillId="4" fontId="6" numFmtId="0" xfId="0" applyBorder="1" applyFill="1" applyFont="1"/>
    <xf borderId="0" fillId="0" fontId="7" numFmtId="0" xfId="0" applyFont="1"/>
    <xf borderId="0" fillId="0" fontId="3" numFmtId="3" xfId="0" applyFont="1" applyNumberFormat="1"/>
    <xf borderId="0" fillId="0" fontId="3" numFmtId="9" xfId="0" applyFont="1" applyNumberFormat="1"/>
    <xf borderId="0" fillId="0" fontId="3" numFmtId="164" xfId="0" applyFont="1" applyNumberFormat="1"/>
    <xf borderId="0" fillId="0" fontId="6" numFmtId="0" xfId="0" applyFont="1"/>
    <xf borderId="0" fillId="0" fontId="6" numFmtId="164" xfId="0" applyFont="1" applyNumberFormat="1"/>
    <xf borderId="0" fillId="0" fontId="6" numFmtId="9" xfId="0" applyFont="1" applyNumberFormat="1"/>
    <xf borderId="4" fillId="4" fontId="6" numFmtId="164" xfId="0" applyBorder="1" applyFont="1" applyNumberFormat="1"/>
    <xf borderId="4" fillId="4" fontId="6" numFmtId="9" xfId="0" applyBorder="1" applyFont="1" applyNumberFormat="1"/>
    <xf borderId="0" fillId="0" fontId="8" numFmtId="0" xfId="0" applyFont="1"/>
    <xf borderId="0" fillId="0" fontId="9" numFmtId="0" xfId="0" applyFont="1"/>
    <xf borderId="4" fillId="5" fontId="10" numFmtId="0" xfId="0" applyBorder="1" applyFill="1" applyFont="1"/>
    <xf borderId="4" fillId="5" fontId="10" numFmtId="164" xfId="0" applyBorder="1" applyFont="1" applyNumberFormat="1"/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6" fontId="13" numFmtId="0" xfId="0" applyAlignment="1" applyBorder="1" applyFill="1" applyFont="1">
      <alignment vertical="bottom"/>
    </xf>
    <xf borderId="1" fillId="7" fontId="13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8" fontId="3" numFmtId="0" xfId="0" applyAlignment="1" applyFill="1" applyFont="1">
      <alignment horizontal="center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7" numFmtId="166" xfId="0" applyFont="1" applyNumberFormat="1"/>
    <xf borderId="4" fillId="9" fontId="15" numFmtId="164" xfId="0" applyAlignment="1" applyBorder="1" applyFill="1" applyFont="1" applyNumberFormat="1">
      <alignment horizontal="right" vertical="bottom"/>
    </xf>
    <xf borderId="1" fillId="10" fontId="13" numFmtId="0" xfId="0" applyAlignment="1" applyBorder="1" applyFill="1" applyFont="1">
      <alignment vertical="bottom"/>
    </xf>
    <xf borderId="0" fillId="0" fontId="16" numFmtId="9" xfId="0" applyAlignment="1" applyFont="1" applyNumberFormat="1">
      <alignment horizontal="center"/>
    </xf>
    <xf borderId="0" fillId="0" fontId="14" numFmtId="3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6" numFmtId="0" xfId="0" applyAlignment="1" applyFont="1">
      <alignment vertical="bottom"/>
    </xf>
    <xf borderId="4" fillId="11" fontId="15" numFmtId="164" xfId="0" applyAlignment="1" applyBorder="1" applyFill="1" applyFont="1" applyNumberFormat="1">
      <alignment horizontal="right" vertical="bottom"/>
    </xf>
    <xf borderId="1" fillId="12" fontId="13" numFmtId="0" xfId="0" applyAlignment="1" applyBorder="1" applyFill="1" applyFon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3" numFmtId="168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4" fillId="13" fontId="15" numFmtId="164" xfId="0" applyAlignment="1" applyBorder="1" applyFill="1" applyFont="1" applyNumberForma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18" numFmtId="0" xfId="0" applyAlignment="1" applyFont="1">
      <alignment readingOrder="0"/>
    </xf>
    <xf borderId="0" fillId="0" fontId="19" numFmtId="0" xfId="0" applyFont="1"/>
    <xf borderId="0" fillId="14" fontId="20" numFmtId="0" xfId="0" applyAlignment="1" applyFill="1" applyFont="1">
      <alignment readingOrder="0"/>
    </xf>
    <xf borderId="0" fillId="15" fontId="21" numFmtId="0" xfId="0" applyFill="1" applyFont="1"/>
    <xf borderId="0" fillId="0" fontId="16" numFmtId="0" xfId="0" applyAlignment="1" applyFont="1">
      <alignment horizontal="right"/>
    </xf>
    <xf borderId="0" fillId="0" fontId="16" numFmtId="0" xfId="0" applyFont="1"/>
    <xf borderId="0" fillId="0" fontId="16" numFmtId="0" xfId="0" applyAlignment="1" applyFont="1">
      <alignment readingOrder="0"/>
    </xf>
    <xf borderId="0" fillId="0" fontId="21" numFmtId="0" xfId="0" applyFont="1"/>
    <xf borderId="0" fillId="16" fontId="20" numFmtId="0" xfId="0" applyFill="1" applyFont="1"/>
    <xf borderId="0" fillId="17" fontId="21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18" fontId="22" numFmtId="0" xfId="0" applyFill="1" applyFont="1"/>
    <xf borderId="0" fillId="19" fontId="21" numFmtId="0" xfId="0" applyAlignment="1" applyFill="1" applyFont="1">
      <alignment shrinkToFit="0" vertical="top" wrapText="1"/>
    </xf>
    <xf borderId="0" fillId="0" fontId="3" numFmtId="0" xfId="0" applyAlignment="1" applyFont="1">
      <alignment horizontal="right" shrinkToFit="0" vertical="top" wrapText="1"/>
    </xf>
    <xf borderId="0" fillId="0" fontId="3" numFmtId="0" xfId="0" applyAlignment="1" applyFont="1">
      <alignment shrinkToFit="0" vertical="top" wrapText="1"/>
    </xf>
    <xf borderId="0" fillId="20" fontId="20" numFmtId="0" xfId="0" applyFill="1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4" numFmtId="0" xfId="0" applyFont="1"/>
    <xf borderId="0" fillId="0" fontId="25" numFmtId="0" xfId="0" applyFont="1"/>
    <xf borderId="0" fillId="0" fontId="18" numFmtId="0" xfId="0" applyFont="1"/>
    <xf borderId="0" fillId="0" fontId="22" numFmtId="0" xfId="0" applyFont="1"/>
    <xf borderId="0" fillId="21" fontId="21" numFmtId="0" xfId="0" applyFill="1" applyFont="1"/>
    <xf borderId="0" fillId="22" fontId="21" numFmtId="0" xfId="0" applyFill="1" applyFont="1"/>
    <xf borderId="0" fillId="0" fontId="26" numFmtId="0" xfId="0" applyFont="1"/>
    <xf borderId="0" fillId="19" fontId="21" numFmtId="0" xfId="0" applyFont="1"/>
    <xf borderId="0" fillId="0" fontId="16" numFmtId="1" xfId="0" applyFont="1" applyNumberFormat="1"/>
    <xf borderId="0" fillId="4" fontId="21" numFmtId="0" xfId="0" applyFont="1"/>
    <xf borderId="0" fillId="23" fontId="21" numFmtId="0" xfId="0" applyFill="1" applyFont="1"/>
    <xf borderId="0" fillId="0" fontId="27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24" fontId="29" numFmtId="0" xfId="0" applyAlignment="1" applyFill="1" applyFont="1">
      <alignment vertical="bottom"/>
    </xf>
    <xf borderId="0" fillId="25" fontId="30" numFmtId="1" xfId="0" applyAlignment="1" applyFill="1" applyFont="1" applyNumberFormat="1">
      <alignment horizontal="right"/>
    </xf>
    <xf borderId="0" fillId="25" fontId="30" numFmtId="164" xfId="0" applyAlignment="1" applyFont="1" applyNumberFormat="1">
      <alignment horizontal="right"/>
    </xf>
    <xf borderId="0" fillId="25" fontId="30" numFmtId="9" xfId="0" applyAlignment="1" applyFont="1" applyNumberFormat="1">
      <alignment horizontal="right"/>
    </xf>
    <xf borderId="0" fillId="0" fontId="31" numFmtId="0" xfId="0" applyAlignment="1" applyFont="1">
      <alignment vertical="bottom"/>
    </xf>
    <xf borderId="0" fillId="0" fontId="3" numFmtId="169" xfId="0" applyAlignment="1" applyFont="1" applyNumberFormat="1">
      <alignment vertical="bottom"/>
    </xf>
    <xf borderId="0" fillId="24" fontId="29" numFmtId="169" xfId="0" applyAlignment="1" applyFont="1" applyNumberFormat="1">
      <alignment horizontal="center"/>
    </xf>
    <xf borderId="0" fillId="24" fontId="29" numFmtId="0" xfId="0" applyAlignment="1" applyFont="1">
      <alignment horizontal="center"/>
    </xf>
    <xf borderId="0" fillId="0" fontId="3" numFmtId="1" xfId="0" applyAlignment="1" applyFont="1" applyNumberFormat="1">
      <alignment horizontal="center" vertical="bottom"/>
    </xf>
    <xf borderId="0" fillId="26" fontId="3" numFmtId="0" xfId="0" applyAlignment="1" applyFill="1" applyFont="1">
      <alignment vertical="bottom"/>
    </xf>
    <xf borderId="0" fillId="26" fontId="3" numFmtId="1" xfId="0" applyAlignment="1" applyFont="1" applyNumberFormat="1">
      <alignment horizontal="center" vertical="bottom"/>
    </xf>
    <xf borderId="0" fillId="0" fontId="32" numFmtId="0" xfId="0" applyAlignment="1" applyFont="1">
      <alignment vertical="bottom"/>
    </xf>
    <xf borderId="0" fillId="0" fontId="32" numFmtId="1" xfId="0" applyAlignment="1" applyFont="1" applyNumberFormat="1">
      <alignment horizontal="center" vertical="bottom"/>
    </xf>
    <xf borderId="0" fillId="27" fontId="32" numFmtId="0" xfId="0" applyAlignment="1" applyFill="1" applyFont="1">
      <alignment vertical="bottom"/>
    </xf>
    <xf borderId="0" fillId="27" fontId="32" numFmtId="164" xfId="0" applyAlignment="1" applyFont="1" applyNumberFormat="1">
      <alignment horizontal="right" vertical="bottom"/>
    </xf>
    <xf borderId="0" fillId="28" fontId="32" numFmtId="0" xfId="0" applyAlignment="1" applyFill="1" applyFont="1">
      <alignment vertical="bottom"/>
    </xf>
    <xf borderId="0" fillId="28" fontId="32" numFmtId="164" xfId="0" applyAlignment="1" applyFont="1" applyNumberFormat="1">
      <alignment horizontal="right" vertical="bottom"/>
    </xf>
    <xf borderId="0" fillId="0" fontId="32" numFmtId="170" xfId="0" applyAlignment="1" applyFont="1" applyNumberFormat="1">
      <alignment horizontal="right" vertical="bottom"/>
    </xf>
    <xf borderId="0" fillId="19" fontId="32" numFmtId="0" xfId="0" applyAlignment="1" applyFont="1">
      <alignment vertical="bottom"/>
    </xf>
    <xf borderId="0" fillId="19" fontId="32" numFmtId="170" xfId="0" applyAlignment="1" applyFont="1" applyNumberFormat="1">
      <alignment horizontal="right" vertical="bottom"/>
    </xf>
    <xf borderId="1" fillId="2" fontId="33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4" fillId="4" fontId="6" numFmtId="0" xfId="0" applyAlignment="1" applyBorder="1" applyFont="1">
      <alignment horizontal="center"/>
    </xf>
    <xf borderId="4" fillId="5" fontId="3" numFmtId="0" xfId="0" applyBorder="1" applyFont="1"/>
    <xf borderId="4" fillId="23" fontId="3" numFmtId="0" xfId="0" applyBorder="1" applyFont="1"/>
    <xf borderId="0" fillId="0" fontId="7" numFmtId="9" xfId="0" applyAlignment="1" applyFont="1" applyNumberFormat="1">
      <alignment horizontal="center"/>
    </xf>
    <xf borderId="4" fillId="29" fontId="3" numFmtId="0" xfId="0" applyBorder="1" applyFill="1" applyFont="1"/>
    <xf borderId="4" fillId="30" fontId="3" numFmtId="0" xfId="0" applyBorder="1" applyFill="1" applyFont="1"/>
    <xf borderId="4" fillId="31" fontId="3" numFmtId="0" xfId="0" applyBorder="1" applyFill="1" applyFont="1"/>
    <xf borderId="1" fillId="3" fontId="6" numFmtId="0" xfId="0" applyBorder="1" applyFont="1"/>
    <xf borderId="0" fillId="0" fontId="3" numFmtId="171" xfId="0" applyFont="1" applyNumberFormat="1"/>
    <xf borderId="0" fillId="0" fontId="7" numFmtId="10" xfId="0" applyFont="1" applyNumberFormat="1"/>
    <xf borderId="0" fillId="0" fontId="32" numFmtId="172" xfId="0" applyAlignment="1" applyFont="1" applyNumberFormat="1">
      <alignment vertical="bottom"/>
    </xf>
    <xf borderId="0" fillId="0" fontId="34" numFmtId="0" xfId="0" applyAlignment="1" applyFont="1">
      <alignment vertical="bottom"/>
    </xf>
    <xf borderId="0" fillId="0" fontId="34" numFmtId="0" xfId="0" applyAlignment="1" applyFont="1">
      <alignment horizontal="right" vertical="bottom"/>
    </xf>
    <xf borderId="0" fillId="0" fontId="34" numFmtId="0" xfId="0" applyFont="1"/>
    <xf borderId="0" fillId="0" fontId="34" numFmtId="0" xfId="0" applyAlignment="1" applyFont="1">
      <alignment horizontal="center" vertical="bottom"/>
    </xf>
    <xf borderId="0" fillId="0" fontId="34" numFmtId="172" xfId="0" applyAlignment="1" applyFont="1" applyNumberFormat="1">
      <alignment horizontal="center" vertical="bottom"/>
    </xf>
    <xf borderId="0" fillId="0" fontId="34" numFmtId="172" xfId="0" applyAlignment="1" applyFont="1" applyNumberFormat="1">
      <alignment vertical="bottom"/>
    </xf>
    <xf borderId="0" fillId="0" fontId="32" numFmtId="0" xfId="0" applyAlignment="1" applyFont="1">
      <alignment horizontal="center" vertical="bottom"/>
    </xf>
    <xf borderId="0" fillId="0" fontId="32" numFmtId="172" xfId="0" applyAlignment="1" applyFont="1" applyNumberFormat="1">
      <alignment horizontal="center" vertical="bottom"/>
    </xf>
    <xf borderId="0" fillId="0" fontId="34" numFmtId="172" xfId="0" applyAlignment="1" applyFont="1" applyNumberFormat="1">
      <alignment horizontal="right" vertical="bottom"/>
    </xf>
    <xf borderId="0" fillId="0" fontId="34" numFmtId="9" xfId="0" applyAlignment="1" applyFont="1" applyNumberFormat="1">
      <alignment horizontal="right" vertical="bottom"/>
    </xf>
    <xf borderId="0" fillId="0" fontId="34" numFmtId="9" xfId="0" applyAlignment="1" applyFont="1" applyNumberFormat="1">
      <alignment vertical="bottom"/>
    </xf>
    <xf borderId="0" fillId="0" fontId="34" numFmtId="0" xfId="0" applyAlignment="1" applyFont="1">
      <alignment shrinkToFit="0" vertical="bottom" wrapText="1"/>
    </xf>
    <xf borderId="5" fillId="0" fontId="34" numFmtId="172" xfId="0" applyAlignment="1" applyBorder="1" applyFont="1" applyNumberFormat="1">
      <alignment vertical="bottom"/>
    </xf>
    <xf borderId="5" fillId="32" fontId="32" numFmtId="172" xfId="0" applyAlignment="1" applyBorder="1" applyFill="1" applyFont="1" applyNumberFormat="1">
      <alignment horizontal="right" vertical="bottom"/>
    </xf>
    <xf borderId="0" fillId="0" fontId="34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40.71"/>
    <col customWidth="1" min="3" max="3" width="15.0"/>
    <col customWidth="1" min="4" max="4" width="10.0"/>
    <col customWidth="1" min="5" max="6" width="8.71"/>
  </cols>
  <sheetData>
    <row r="1" ht="24.75" customHeight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</v>
      </c>
      <c r="B4" s="2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3</v>
      </c>
      <c r="B5" s="7" t="s">
        <v>4</v>
      </c>
      <c r="C5" s="7" t="s">
        <v>5</v>
      </c>
      <c r="D5" s="7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7</v>
      </c>
      <c r="B6" s="8" t="s">
        <v>8</v>
      </c>
      <c r="C6" s="9">
        <v>4.0</v>
      </c>
      <c r="D6" s="10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9</v>
      </c>
      <c r="B7" s="8" t="s">
        <v>10</v>
      </c>
      <c r="C7" s="11">
        <f>'Unidad económica'!E15*CantidadGrupos</f>
        <v>200640</v>
      </c>
      <c r="D7" s="10">
        <f>C7/C10</f>
        <v>0.8892040418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11</v>
      </c>
      <c r="B8" s="8" t="s">
        <v>12</v>
      </c>
      <c r="C8" s="11">
        <v>25000.0</v>
      </c>
      <c r="D8" s="10">
        <f>C8/C10</f>
        <v>0.1107959582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" t="s">
        <v>13</v>
      </c>
      <c r="B10" s="4"/>
      <c r="C10" s="13">
        <f t="shared" ref="C10:D10" si="1">SUM(C7:C8)</f>
        <v>225640</v>
      </c>
      <c r="D10" s="14">
        <f t="shared" si="1"/>
        <v>1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6" t="s">
        <v>14</v>
      </c>
      <c r="B12" s="2"/>
      <c r="C12" s="2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 t="s">
        <v>15</v>
      </c>
      <c r="B13" s="7" t="s">
        <v>4</v>
      </c>
      <c r="C13" s="15" t="s">
        <v>5</v>
      </c>
      <c r="D13" s="16" t="s">
        <v>6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16</v>
      </c>
      <c r="B14" s="8" t="s">
        <v>17</v>
      </c>
      <c r="C14" s="11">
        <f>'Unidad económica'!E18*CantidadGrupos</f>
        <v>100320</v>
      </c>
      <c r="D14" s="10">
        <f t="shared" ref="D14:D16" si="2">C14/$C$24</f>
        <v>0.5855708615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18</v>
      </c>
      <c r="B15" s="8" t="s">
        <v>19</v>
      </c>
      <c r="C15" s="11">
        <f>'Unidad económica'!E19*CantidadGrupos</f>
        <v>13200</v>
      </c>
      <c r="D15" s="10">
        <f t="shared" si="2"/>
        <v>0.07704879757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20</v>
      </c>
      <c r="B16" s="8" t="s">
        <v>21</v>
      </c>
      <c r="C16" s="11">
        <f>'Unidad económica'!E20*CantidadGrupos</f>
        <v>33900</v>
      </c>
      <c r="D16" s="10">
        <f t="shared" si="2"/>
        <v>0.197875321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7" t="s">
        <v>22</v>
      </c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23</v>
      </c>
      <c r="B18" s="8" t="s">
        <v>24</v>
      </c>
      <c r="C18" s="11">
        <v>5000.0</v>
      </c>
      <c r="D18" s="10">
        <f t="shared" ref="D18:D22" si="3">C18/$C$24</f>
        <v>0.0291851506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25</v>
      </c>
      <c r="B19" s="4"/>
      <c r="C19" s="11">
        <v>11400.0</v>
      </c>
      <c r="D19" s="10">
        <f t="shared" si="3"/>
        <v>0.06654214336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26</v>
      </c>
      <c r="B20" s="4"/>
      <c r="C20" s="11">
        <v>2500.0</v>
      </c>
      <c r="D20" s="10">
        <f t="shared" si="3"/>
        <v>0.0145925753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8" t="s">
        <v>27</v>
      </c>
      <c r="B21" s="4"/>
      <c r="C21" s="11">
        <f>'Unidad económica'!E24*CantidadGrupos</f>
        <v>5000</v>
      </c>
      <c r="D21" s="10">
        <f t="shared" si="3"/>
        <v>0.0291851506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8" t="s">
        <v>28</v>
      </c>
      <c r="B22" s="4"/>
      <c r="C22" s="11">
        <f>'Unidad económica'!E25*CantidadGrupos</f>
        <v>4000</v>
      </c>
      <c r="D22" s="10">
        <f t="shared" si="3"/>
        <v>0.02334812048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2"/>
      <c r="B23" s="4"/>
      <c r="C23" s="13"/>
      <c r="D23" s="1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2" t="s">
        <v>29</v>
      </c>
      <c r="B24" s="4"/>
      <c r="C24" s="13">
        <f t="shared" ref="C24:D24" si="4">SUM(C14:C21)</f>
        <v>171320</v>
      </c>
      <c r="D24" s="14">
        <f t="shared" si="4"/>
        <v>1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9" t="s">
        <v>30</v>
      </c>
      <c r="B26" s="4"/>
      <c r="C26" s="20">
        <f>C10-C24</f>
        <v>54320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 t="s">
        <v>31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8" t="s">
        <v>32</v>
      </c>
      <c r="B29" s="4"/>
      <c r="C29" s="11">
        <f>C26*0.5</f>
        <v>27160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8" t="s">
        <v>33</v>
      </c>
      <c r="B30" s="4"/>
      <c r="C30" s="11">
        <f>C26*0.5</f>
        <v>27160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D1"/>
    <mergeCell ref="A2:D2"/>
    <mergeCell ref="A4:D4"/>
    <mergeCell ref="A12:D12"/>
    <mergeCell ref="A17:C17"/>
    <mergeCell ref="A25:B25"/>
    <mergeCell ref="A27:D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4.29"/>
    <col customWidth="1" min="2" max="3" width="14.43"/>
    <col customWidth="1" min="4" max="4" width="38.57"/>
    <col customWidth="1" min="5" max="6" width="14.43"/>
  </cols>
  <sheetData>
    <row r="1">
      <c r="A1" s="21" t="s">
        <v>34</v>
      </c>
    </row>
    <row r="2">
      <c r="A2" s="22" t="s">
        <v>35</v>
      </c>
    </row>
    <row r="3">
      <c r="A3" s="23"/>
      <c r="B3" s="23"/>
      <c r="C3" s="23"/>
      <c r="D3" s="23"/>
      <c r="E3" s="23"/>
      <c r="F3" s="23"/>
    </row>
    <row r="4">
      <c r="A4" s="24" t="s">
        <v>36</v>
      </c>
      <c r="B4" s="3"/>
      <c r="C4" s="23"/>
      <c r="D4" s="25" t="s">
        <v>37</v>
      </c>
      <c r="E4" s="2"/>
      <c r="F4" s="3"/>
    </row>
    <row r="5">
      <c r="A5" s="26" t="s">
        <v>38</v>
      </c>
      <c r="B5" s="27">
        <f>SUM(E5:E8)</f>
        <v>10</v>
      </c>
      <c r="C5" s="23"/>
      <c r="D5" s="26" t="s">
        <v>39</v>
      </c>
      <c r="E5" s="27">
        <v>2.0</v>
      </c>
      <c r="F5" s="23"/>
    </row>
    <row r="6">
      <c r="A6" s="26" t="s">
        <v>40</v>
      </c>
      <c r="B6" s="28">
        <v>500.0</v>
      </c>
      <c r="C6" s="23"/>
      <c r="D6" s="26" t="s">
        <v>41</v>
      </c>
      <c r="E6" s="27">
        <v>3.0</v>
      </c>
      <c r="F6" s="23"/>
    </row>
    <row r="7">
      <c r="A7" s="26" t="s">
        <v>42</v>
      </c>
      <c r="B7" s="29">
        <f>B6*(1-B8)</f>
        <v>400</v>
      </c>
      <c r="C7" s="23"/>
      <c r="D7" s="26" t="s">
        <v>43</v>
      </c>
      <c r="E7" s="27">
        <v>2.0</v>
      </c>
      <c r="F7" s="23"/>
    </row>
    <row r="8">
      <c r="A8" s="26" t="s">
        <v>44</v>
      </c>
      <c r="B8" s="30">
        <v>0.2</v>
      </c>
      <c r="C8" s="23"/>
      <c r="D8" s="26" t="s">
        <v>45</v>
      </c>
      <c r="E8" s="27">
        <v>3.0</v>
      </c>
    </row>
    <row r="9">
      <c r="A9" s="26" t="s">
        <v>46</v>
      </c>
      <c r="B9" s="30">
        <v>0.1</v>
      </c>
      <c r="C9" s="23"/>
      <c r="D9" s="4"/>
    </row>
    <row r="10">
      <c r="A10" s="26" t="s">
        <v>47</v>
      </c>
      <c r="B10" s="30">
        <v>0.3</v>
      </c>
      <c r="C10" s="23"/>
      <c r="D10" s="26" t="s">
        <v>48</v>
      </c>
      <c r="E10" s="31">
        <f t="shared" ref="E10:E11" si="1">E5*B6</f>
        <v>1000</v>
      </c>
    </row>
    <row r="11">
      <c r="A11" s="26" t="s">
        <v>49</v>
      </c>
      <c r="B11" s="29">
        <f>Precio_regular*3</f>
        <v>1500</v>
      </c>
      <c r="C11" s="23"/>
      <c r="D11" s="26" t="s">
        <v>50</v>
      </c>
      <c r="E11" s="31">
        <f t="shared" si="1"/>
        <v>1200</v>
      </c>
    </row>
    <row r="12">
      <c r="A12" s="26" t="s">
        <v>51</v>
      </c>
      <c r="B12" s="29">
        <f>Precio_climaTech*3</f>
        <v>1200</v>
      </c>
      <c r="C12" s="23"/>
      <c r="D12" s="26" t="s">
        <v>52</v>
      </c>
      <c r="E12" s="32">
        <f>Precio_regular*E7*(1-B9)</f>
        <v>900</v>
      </c>
      <c r="F12" s="23"/>
    </row>
    <row r="13">
      <c r="A13" s="26" t="s">
        <v>53</v>
      </c>
      <c r="B13" s="29">
        <f>Precio_regular*12*(1-B9)</f>
        <v>5400</v>
      </c>
      <c r="C13" s="23"/>
      <c r="D13" s="26" t="s">
        <v>54</v>
      </c>
      <c r="E13" s="32">
        <f>Precio_climaTech*E8*(1-B9)</f>
        <v>1080</v>
      </c>
      <c r="F13" s="23"/>
    </row>
    <row r="14">
      <c r="A14" s="26" t="s">
        <v>55</v>
      </c>
      <c r="B14" s="29">
        <f>Precio_climaTech*12*(1-B9)</f>
        <v>4320</v>
      </c>
      <c r="C14" s="23"/>
      <c r="D14" s="26" t="s">
        <v>56</v>
      </c>
      <c r="E14" s="31">
        <f>E10+E11+E12+E13</f>
        <v>4180</v>
      </c>
      <c r="F14" s="23"/>
    </row>
    <row r="15">
      <c r="A15" s="4"/>
      <c r="C15" s="23"/>
      <c r="D15" s="26" t="s">
        <v>57</v>
      </c>
      <c r="E15" s="33">
        <f>E14*12</f>
        <v>50160</v>
      </c>
      <c r="F15" s="23"/>
    </row>
    <row r="16">
      <c r="A16" s="26" t="s">
        <v>58</v>
      </c>
      <c r="B16" s="27">
        <v>2.0</v>
      </c>
      <c r="C16" s="23"/>
      <c r="D16" s="4"/>
      <c r="F16" s="23"/>
    </row>
    <row r="17">
      <c r="A17" s="26" t="s">
        <v>59</v>
      </c>
      <c r="B17" s="30">
        <v>0.5</v>
      </c>
      <c r="C17" s="23"/>
      <c r="D17" s="34" t="s">
        <v>60</v>
      </c>
      <c r="E17" s="2"/>
      <c r="F17" s="3"/>
    </row>
    <row r="18">
      <c r="A18" s="23"/>
      <c r="B18" s="23"/>
      <c r="C18" s="23"/>
      <c r="D18" s="26" t="s">
        <v>61</v>
      </c>
      <c r="E18" s="31">
        <f>E15*B17</f>
        <v>25080</v>
      </c>
      <c r="F18" s="23"/>
      <c r="H18" s="35">
        <f t="shared" ref="H18:H25" si="2">E18/$E$27</f>
        <v>0.5381396846</v>
      </c>
    </row>
    <row r="19">
      <c r="A19" s="26" t="s">
        <v>62</v>
      </c>
      <c r="B19" s="36">
        <v>4.0</v>
      </c>
      <c r="C19" s="23"/>
      <c r="D19" s="26" t="s">
        <v>63</v>
      </c>
      <c r="E19" s="31">
        <f>(B19*4*B20)/4</f>
        <v>3300</v>
      </c>
      <c r="F19" s="37" t="s">
        <v>64</v>
      </c>
      <c r="H19" s="35">
        <f t="shared" si="2"/>
        <v>0.07080785323</v>
      </c>
    </row>
    <row r="20">
      <c r="A20" s="26" t="s">
        <v>65</v>
      </c>
      <c r="B20" s="29">
        <f>'Presupuesto Eventos'!D7</f>
        <v>825</v>
      </c>
      <c r="C20" s="23"/>
      <c r="D20" s="26" t="s">
        <v>66</v>
      </c>
      <c r="E20" s="31">
        <v>8475.0</v>
      </c>
      <c r="F20" s="23" t="s">
        <v>67</v>
      </c>
      <c r="H20" s="35">
        <f t="shared" si="2"/>
        <v>0.1818474413</v>
      </c>
    </row>
    <row r="21" ht="15.75" customHeight="1">
      <c r="A21" s="26" t="s">
        <v>68</v>
      </c>
      <c r="B21" s="36">
        <f>'Presupuesto Eventos'!D11</f>
        <v>50</v>
      </c>
      <c r="C21" s="23"/>
      <c r="D21" s="26" t="s">
        <v>69</v>
      </c>
      <c r="E21" s="31">
        <v>4000.0</v>
      </c>
      <c r="F21" s="23"/>
      <c r="H21" s="35">
        <f t="shared" si="2"/>
        <v>0.08582770089</v>
      </c>
    </row>
    <row r="22" ht="15.75" customHeight="1">
      <c r="A22" s="26" t="s">
        <v>70</v>
      </c>
      <c r="B22" s="30">
        <f>'Presupuesto Eventos'!B17</f>
        <v>0.5</v>
      </c>
      <c r="C22" s="23"/>
      <c r="D22" s="26" t="s">
        <v>71</v>
      </c>
      <c r="E22" s="31">
        <f>6000/4</f>
        <v>1500</v>
      </c>
      <c r="F22" s="23"/>
      <c r="H22" s="35">
        <f t="shared" si="2"/>
        <v>0.03218538783</v>
      </c>
    </row>
    <row r="23" ht="15.75" customHeight="1">
      <c r="A23" s="8" t="s">
        <v>72</v>
      </c>
      <c r="B23" s="8">
        <f>B19*B21*B22</f>
        <v>100</v>
      </c>
      <c r="C23" s="23"/>
      <c r="D23" s="26" t="s">
        <v>73</v>
      </c>
      <c r="E23" s="31">
        <v>2000.0</v>
      </c>
      <c r="F23" s="23"/>
      <c r="H23" s="35">
        <f t="shared" si="2"/>
        <v>0.04291385045</v>
      </c>
    </row>
    <row r="24" ht="15.75" customHeight="1">
      <c r="A24" s="26" t="s">
        <v>74</v>
      </c>
      <c r="B24" s="30">
        <f>'Presupuesto Eventos'!B19</f>
        <v>0.1</v>
      </c>
      <c r="C24" s="23"/>
      <c r="D24" s="26" t="s">
        <v>75</v>
      </c>
      <c r="E24" s="31">
        <f>5000/4</f>
        <v>1250</v>
      </c>
      <c r="F24" s="23"/>
      <c r="H24" s="35">
        <f t="shared" si="2"/>
        <v>0.02682115653</v>
      </c>
    </row>
    <row r="25" ht="15.75" customHeight="1">
      <c r="A25" s="8" t="s">
        <v>76</v>
      </c>
      <c r="B25" s="8">
        <f>B23*B24</f>
        <v>10</v>
      </c>
      <c r="C25" s="23"/>
      <c r="D25" s="26" t="s">
        <v>77</v>
      </c>
      <c r="E25" s="31">
        <f>4000/4</f>
        <v>1000</v>
      </c>
      <c r="F25" s="23"/>
      <c r="H25" s="35">
        <f t="shared" si="2"/>
        <v>0.02145692522</v>
      </c>
    </row>
    <row r="26" ht="15.75" customHeight="1">
      <c r="A26" s="4"/>
      <c r="C26" s="23"/>
      <c r="D26" s="23"/>
      <c r="E26" s="23"/>
      <c r="F26" s="23"/>
    </row>
    <row r="27" ht="15.75" customHeight="1">
      <c r="A27" s="24" t="s">
        <v>78</v>
      </c>
      <c r="B27" s="3"/>
      <c r="C27" s="23"/>
      <c r="D27" s="38" t="s">
        <v>79</v>
      </c>
      <c r="E27" s="39">
        <f>SUM(E18:E25)</f>
        <v>46605</v>
      </c>
      <c r="F27" s="23"/>
    </row>
    <row r="28" ht="15.75" customHeight="1">
      <c r="A28" s="26" t="s">
        <v>80</v>
      </c>
      <c r="B28" s="31">
        <f>E14*12</f>
        <v>50160</v>
      </c>
      <c r="C28" s="23"/>
      <c r="D28" s="23"/>
      <c r="E28" s="23"/>
      <c r="F28" s="23"/>
    </row>
    <row r="29" ht="15.75" customHeight="1">
      <c r="A29" s="26" t="s">
        <v>81</v>
      </c>
      <c r="B29" s="31">
        <f>(E19+E20+E21)/B5</f>
        <v>1577.5</v>
      </c>
      <c r="C29" s="23"/>
      <c r="D29" s="40" t="s">
        <v>82</v>
      </c>
      <c r="E29" s="2"/>
      <c r="F29" s="3"/>
    </row>
    <row r="30" ht="15.75" customHeight="1">
      <c r="A30" s="26" t="s">
        <v>83</v>
      </c>
      <c r="B30" s="41">
        <f>B28/B29</f>
        <v>31.79714739</v>
      </c>
      <c r="C30" s="23"/>
      <c r="D30" s="26" t="s">
        <v>84</v>
      </c>
      <c r="E30" s="31">
        <f>E15</f>
        <v>50160</v>
      </c>
      <c r="F30" s="23"/>
    </row>
    <row r="31" ht="15.75" customHeight="1">
      <c r="A31" s="26" t="s">
        <v>85</v>
      </c>
      <c r="B31" s="42">
        <f>B29/E14</f>
        <v>0.3773923445</v>
      </c>
      <c r="C31" s="23"/>
      <c r="D31" s="26" t="s">
        <v>79</v>
      </c>
      <c r="E31" s="31">
        <f>E27</f>
        <v>46605</v>
      </c>
      <c r="F31" s="23"/>
    </row>
    <row r="32" ht="15.75" customHeight="1">
      <c r="A32" s="23"/>
      <c r="B32" s="43"/>
      <c r="C32" s="23"/>
      <c r="D32" s="44" t="s">
        <v>86</v>
      </c>
      <c r="E32" s="45">
        <f>E30-E31</f>
        <v>3555</v>
      </c>
      <c r="F32" s="23"/>
    </row>
    <row r="33" ht="15.75" customHeight="1">
      <c r="A33" s="26" t="s">
        <v>87</v>
      </c>
      <c r="B33" s="42">
        <f>B5/(B19*4)</f>
        <v>0.625</v>
      </c>
      <c r="C33" s="23"/>
      <c r="D33" s="23"/>
      <c r="E33" s="43"/>
      <c r="F33" s="23"/>
    </row>
    <row r="34" ht="15.75" customHeight="1">
      <c r="A34" s="26" t="s">
        <v>88</v>
      </c>
      <c r="B34" s="31">
        <f>B20/(B21*B22*B24)</f>
        <v>330</v>
      </c>
      <c r="C34" s="23"/>
      <c r="D34" s="26" t="s">
        <v>89</v>
      </c>
      <c r="E34" s="46">
        <f>(E30-E18)/E30</f>
        <v>0.5</v>
      </c>
      <c r="F34" s="23"/>
    </row>
    <row r="35" ht="15.75" customHeight="1">
      <c r="A35" s="4"/>
      <c r="D35" s="26" t="s">
        <v>90</v>
      </c>
      <c r="E35" s="46">
        <f>E32/E30</f>
        <v>0.07087320574</v>
      </c>
      <c r="F35" s="23"/>
    </row>
    <row r="36" ht="15.75" customHeight="1">
      <c r="A36" s="4"/>
      <c r="D36" s="4"/>
    </row>
    <row r="37" ht="15.75" customHeight="1">
      <c r="A37" s="4"/>
      <c r="D37" s="4"/>
    </row>
    <row r="38" ht="15.75" customHeight="1">
      <c r="A38" s="4"/>
      <c r="D38" s="4"/>
    </row>
    <row r="39" ht="15.75" customHeight="1">
      <c r="A39" s="4"/>
      <c r="D39" s="4"/>
    </row>
    <row r="40" ht="15.75" customHeight="1">
      <c r="A40" s="4"/>
      <c r="D40" s="4"/>
    </row>
    <row r="41" ht="15.75" customHeight="1">
      <c r="A41" s="4"/>
      <c r="D41" s="4"/>
    </row>
    <row r="42" ht="15.75" customHeight="1">
      <c r="A42" s="4"/>
      <c r="D42" s="4"/>
    </row>
    <row r="43" ht="15.75" customHeight="1">
      <c r="A43" s="4"/>
      <c r="D43" s="4"/>
    </row>
    <row r="44" ht="15.75" customHeight="1">
      <c r="A44" s="4"/>
      <c r="D44" s="4"/>
    </row>
    <row r="45" ht="15.75" customHeight="1">
      <c r="A45" s="4"/>
      <c r="D45" s="4"/>
    </row>
    <row r="46" ht="15.75" customHeight="1">
      <c r="A46" s="4"/>
      <c r="D46" s="4"/>
    </row>
    <row r="47" ht="15.75" customHeight="1">
      <c r="A47" s="4"/>
      <c r="D47" s="4"/>
    </row>
    <row r="48" ht="15.75" customHeight="1">
      <c r="A48" s="4"/>
      <c r="D48" s="4"/>
    </row>
    <row r="49" ht="15.75" customHeight="1">
      <c r="A49" s="4"/>
      <c r="D49" s="4"/>
    </row>
    <row r="50" ht="15.75" customHeight="1">
      <c r="A50" s="4"/>
      <c r="D50" s="4"/>
    </row>
    <row r="51" ht="15.75" customHeight="1">
      <c r="A51" s="4"/>
      <c r="D51" s="4"/>
    </row>
    <row r="52" ht="15.75" customHeight="1">
      <c r="A52" s="4"/>
      <c r="D52" s="4"/>
    </row>
    <row r="53" ht="15.75" customHeight="1">
      <c r="A53" s="4"/>
      <c r="D53" s="4"/>
    </row>
    <row r="54" ht="15.75" customHeight="1">
      <c r="A54" s="4"/>
      <c r="D54" s="4"/>
    </row>
    <row r="55" ht="15.75" customHeight="1">
      <c r="A55" s="4"/>
      <c r="D55" s="4"/>
    </row>
    <row r="56" ht="15.75" customHeight="1">
      <c r="A56" s="4"/>
      <c r="D56" s="4"/>
    </row>
    <row r="57" ht="15.75" customHeight="1">
      <c r="A57" s="4"/>
      <c r="D57" s="4"/>
    </row>
    <row r="58" ht="15.75" customHeight="1">
      <c r="A58" s="4"/>
      <c r="D58" s="4"/>
    </row>
    <row r="59" ht="15.75" customHeight="1">
      <c r="A59" s="4"/>
      <c r="D59" s="4"/>
    </row>
    <row r="60" ht="15.75" customHeight="1">
      <c r="A60" s="4"/>
      <c r="D60" s="4"/>
    </row>
    <row r="61" ht="15.75" customHeight="1">
      <c r="A61" s="4"/>
      <c r="D61" s="4"/>
    </row>
    <row r="62" ht="15.75" customHeight="1">
      <c r="A62" s="4"/>
      <c r="D62" s="4"/>
    </row>
    <row r="63" ht="15.75" customHeight="1">
      <c r="A63" s="4"/>
      <c r="D63" s="4"/>
    </row>
    <row r="64" ht="15.75" customHeight="1">
      <c r="A64" s="4"/>
      <c r="D64" s="4"/>
    </row>
    <row r="65" ht="15.75" customHeight="1">
      <c r="A65" s="4"/>
      <c r="D65" s="4"/>
    </row>
    <row r="66" ht="15.75" customHeight="1">
      <c r="A66" s="4"/>
      <c r="D66" s="4"/>
    </row>
    <row r="67" ht="15.75" customHeight="1">
      <c r="A67" s="4"/>
      <c r="D67" s="4"/>
    </row>
    <row r="68" ht="15.75" customHeight="1">
      <c r="A68" s="4"/>
      <c r="D68" s="4"/>
    </row>
    <row r="69" ht="15.75" customHeight="1">
      <c r="A69" s="4"/>
      <c r="D69" s="4"/>
    </row>
    <row r="70" ht="15.75" customHeight="1">
      <c r="A70" s="4"/>
      <c r="D70" s="4"/>
    </row>
    <row r="71" ht="15.75" customHeight="1">
      <c r="A71" s="4"/>
      <c r="D71" s="4"/>
    </row>
    <row r="72" ht="15.75" customHeight="1">
      <c r="A72" s="4"/>
      <c r="D72" s="4"/>
    </row>
    <row r="73" ht="15.75" customHeight="1">
      <c r="A73" s="4"/>
      <c r="D73" s="4"/>
    </row>
    <row r="74" ht="15.75" customHeight="1">
      <c r="A74" s="4"/>
      <c r="D74" s="4"/>
    </row>
    <row r="75" ht="15.75" customHeight="1">
      <c r="A75" s="4"/>
      <c r="D75" s="4"/>
    </row>
    <row r="76" ht="15.75" customHeight="1">
      <c r="A76" s="4"/>
      <c r="D76" s="4"/>
    </row>
    <row r="77" ht="15.75" customHeight="1">
      <c r="A77" s="4"/>
      <c r="D77" s="4"/>
    </row>
    <row r="78" ht="15.75" customHeight="1">
      <c r="A78" s="4"/>
      <c r="D78" s="4"/>
    </row>
    <row r="79" ht="15.75" customHeight="1">
      <c r="A79" s="4"/>
      <c r="D79" s="4"/>
    </row>
    <row r="80" ht="15.75" customHeight="1">
      <c r="A80" s="4"/>
      <c r="D80" s="4"/>
    </row>
    <row r="81" ht="15.75" customHeight="1">
      <c r="A81" s="4"/>
      <c r="D81" s="4"/>
    </row>
    <row r="82" ht="15.75" customHeight="1">
      <c r="A82" s="4"/>
      <c r="D82" s="4"/>
    </row>
    <row r="83" ht="15.75" customHeight="1">
      <c r="A83" s="4"/>
      <c r="D83" s="4"/>
    </row>
    <row r="84" ht="15.75" customHeight="1">
      <c r="A84" s="4"/>
      <c r="D84" s="4"/>
    </row>
    <row r="85" ht="15.75" customHeight="1">
      <c r="A85" s="4"/>
      <c r="D85" s="4"/>
    </row>
    <row r="86" ht="15.75" customHeight="1">
      <c r="A86" s="4"/>
      <c r="D86" s="4"/>
    </row>
    <row r="87" ht="15.75" customHeight="1">
      <c r="A87" s="4"/>
      <c r="D87" s="4"/>
    </row>
    <row r="88" ht="15.75" customHeight="1">
      <c r="A88" s="4"/>
      <c r="D88" s="4"/>
    </row>
    <row r="89" ht="15.75" customHeight="1">
      <c r="A89" s="4"/>
      <c r="D89" s="4"/>
    </row>
    <row r="90" ht="15.75" customHeight="1">
      <c r="A90" s="4"/>
      <c r="D90" s="4"/>
    </row>
    <row r="91" ht="15.75" customHeight="1">
      <c r="A91" s="4"/>
      <c r="D91" s="4"/>
    </row>
    <row r="92" ht="15.75" customHeight="1">
      <c r="A92" s="4"/>
      <c r="D92" s="4"/>
    </row>
    <row r="93" ht="15.75" customHeight="1">
      <c r="A93" s="4"/>
      <c r="D93" s="4"/>
    </row>
    <row r="94" ht="15.75" customHeight="1">
      <c r="A94" s="4"/>
      <c r="D94" s="4"/>
    </row>
    <row r="95" ht="15.75" customHeight="1">
      <c r="A95" s="4"/>
      <c r="D95" s="4"/>
    </row>
    <row r="96" ht="15.75" customHeight="1">
      <c r="A96" s="4"/>
      <c r="D96" s="4"/>
    </row>
    <row r="97" ht="15.75" customHeight="1">
      <c r="A97" s="4"/>
      <c r="D97" s="4"/>
    </row>
    <row r="98" ht="15.75" customHeight="1">
      <c r="A98" s="4"/>
      <c r="D98" s="4"/>
    </row>
    <row r="99" ht="15.75" customHeight="1">
      <c r="A99" s="4"/>
      <c r="D99" s="4"/>
    </row>
    <row r="100" ht="15.75" customHeight="1">
      <c r="A100" s="4"/>
      <c r="D100" s="4"/>
    </row>
    <row r="101" ht="15.75" customHeight="1">
      <c r="A101" s="4"/>
      <c r="D101" s="4"/>
    </row>
    <row r="102" ht="15.75" customHeight="1">
      <c r="A102" s="4"/>
      <c r="D102" s="4"/>
    </row>
    <row r="103" ht="15.75" customHeight="1">
      <c r="A103" s="4"/>
      <c r="D103" s="4"/>
    </row>
    <row r="104" ht="15.75" customHeight="1">
      <c r="A104" s="4"/>
      <c r="D104" s="4"/>
    </row>
    <row r="105" ht="15.75" customHeight="1">
      <c r="A105" s="4"/>
      <c r="D105" s="4"/>
    </row>
    <row r="106" ht="15.75" customHeight="1">
      <c r="A106" s="4"/>
      <c r="D106" s="4"/>
    </row>
    <row r="107" ht="15.75" customHeight="1">
      <c r="A107" s="4"/>
      <c r="D107" s="4"/>
    </row>
    <row r="108" ht="15.75" customHeight="1">
      <c r="A108" s="4"/>
      <c r="D108" s="4"/>
    </row>
    <row r="109" ht="15.75" customHeight="1">
      <c r="A109" s="4"/>
      <c r="D109" s="4"/>
    </row>
    <row r="110" ht="15.75" customHeight="1">
      <c r="A110" s="4"/>
      <c r="D110" s="4"/>
    </row>
    <row r="111" ht="15.75" customHeight="1">
      <c r="A111" s="4"/>
      <c r="D111" s="4"/>
    </row>
    <row r="112" ht="15.75" customHeight="1">
      <c r="A112" s="4"/>
      <c r="D112" s="4"/>
    </row>
    <row r="113" ht="15.75" customHeight="1">
      <c r="A113" s="4"/>
      <c r="D113" s="4"/>
    </row>
    <row r="114" ht="15.75" customHeight="1">
      <c r="A114" s="4"/>
      <c r="D114" s="4"/>
    </row>
    <row r="115" ht="15.75" customHeight="1">
      <c r="A115" s="4"/>
      <c r="D115" s="4"/>
    </row>
    <row r="116" ht="15.75" customHeight="1">
      <c r="A116" s="4"/>
      <c r="D116" s="4"/>
    </row>
    <row r="117" ht="15.75" customHeight="1">
      <c r="A117" s="4"/>
      <c r="D117" s="4"/>
    </row>
    <row r="118" ht="15.75" customHeight="1">
      <c r="A118" s="4"/>
      <c r="D118" s="4"/>
    </row>
    <row r="119" ht="15.75" customHeight="1">
      <c r="A119" s="4"/>
      <c r="D119" s="4"/>
    </row>
    <row r="120" ht="15.75" customHeight="1">
      <c r="A120" s="4"/>
      <c r="D120" s="4"/>
    </row>
    <row r="121" ht="15.75" customHeight="1">
      <c r="A121" s="4"/>
      <c r="D121" s="4"/>
    </row>
    <row r="122" ht="15.75" customHeight="1">
      <c r="A122" s="4"/>
      <c r="D122" s="4"/>
    </row>
    <row r="123" ht="15.75" customHeight="1">
      <c r="A123" s="4"/>
      <c r="D123" s="4"/>
    </row>
    <row r="124" ht="15.75" customHeight="1">
      <c r="A124" s="4"/>
      <c r="D124" s="4"/>
    </row>
    <row r="125" ht="15.75" customHeight="1">
      <c r="A125" s="4"/>
      <c r="D125" s="4"/>
    </row>
    <row r="126" ht="15.75" customHeight="1">
      <c r="A126" s="4"/>
      <c r="D126" s="4"/>
    </row>
    <row r="127" ht="15.75" customHeight="1">
      <c r="A127" s="4"/>
      <c r="D127" s="4"/>
    </row>
    <row r="128" ht="15.75" customHeight="1">
      <c r="A128" s="4"/>
      <c r="D128" s="4"/>
    </row>
    <row r="129" ht="15.75" customHeight="1">
      <c r="A129" s="4"/>
      <c r="D129" s="4"/>
    </row>
    <row r="130" ht="15.75" customHeight="1">
      <c r="A130" s="4"/>
      <c r="D130" s="4"/>
    </row>
    <row r="131" ht="15.75" customHeight="1">
      <c r="A131" s="4"/>
      <c r="D131" s="4"/>
    </row>
    <row r="132" ht="15.75" customHeight="1">
      <c r="A132" s="4"/>
      <c r="D132" s="4"/>
    </row>
    <row r="133" ht="15.75" customHeight="1">
      <c r="A133" s="4"/>
      <c r="D133" s="4"/>
    </row>
    <row r="134" ht="15.75" customHeight="1">
      <c r="A134" s="4"/>
      <c r="D134" s="4"/>
    </row>
    <row r="135" ht="15.75" customHeight="1">
      <c r="A135" s="4"/>
      <c r="D135" s="4"/>
    </row>
    <row r="136" ht="15.75" customHeight="1">
      <c r="A136" s="4"/>
      <c r="D136" s="4"/>
    </row>
    <row r="137" ht="15.75" customHeight="1">
      <c r="A137" s="4"/>
      <c r="D137" s="4"/>
    </row>
    <row r="138" ht="15.75" customHeight="1">
      <c r="A138" s="4"/>
      <c r="D138" s="4"/>
    </row>
    <row r="139" ht="15.75" customHeight="1">
      <c r="A139" s="4"/>
      <c r="D139" s="4"/>
    </row>
    <row r="140" ht="15.75" customHeight="1">
      <c r="A140" s="4"/>
      <c r="D140" s="4"/>
    </row>
    <row r="141" ht="15.75" customHeight="1">
      <c r="A141" s="4"/>
      <c r="D141" s="4"/>
    </row>
    <row r="142" ht="15.75" customHeight="1">
      <c r="A142" s="4"/>
      <c r="D142" s="4"/>
    </row>
    <row r="143" ht="15.75" customHeight="1">
      <c r="A143" s="4"/>
      <c r="D143" s="4"/>
    </row>
    <row r="144" ht="15.75" customHeight="1">
      <c r="A144" s="4"/>
      <c r="D144" s="4"/>
    </row>
    <row r="145" ht="15.75" customHeight="1">
      <c r="A145" s="4"/>
      <c r="D145" s="4"/>
    </row>
    <row r="146" ht="15.75" customHeight="1">
      <c r="A146" s="4"/>
      <c r="D146" s="4"/>
    </row>
    <row r="147" ht="15.75" customHeight="1">
      <c r="A147" s="4"/>
      <c r="D147" s="4"/>
    </row>
    <row r="148" ht="15.75" customHeight="1">
      <c r="A148" s="4"/>
      <c r="D148" s="4"/>
    </row>
    <row r="149" ht="15.75" customHeight="1">
      <c r="A149" s="4"/>
      <c r="D149" s="4"/>
    </row>
    <row r="150" ht="15.75" customHeight="1">
      <c r="A150" s="4"/>
      <c r="D150" s="4"/>
    </row>
    <row r="151" ht="15.75" customHeight="1">
      <c r="A151" s="4"/>
      <c r="D151" s="4"/>
    </row>
    <row r="152" ht="15.75" customHeight="1">
      <c r="A152" s="4"/>
      <c r="D152" s="4"/>
    </row>
    <row r="153" ht="15.75" customHeight="1">
      <c r="A153" s="4"/>
      <c r="D153" s="4"/>
    </row>
    <row r="154" ht="15.75" customHeight="1">
      <c r="A154" s="4"/>
      <c r="D154" s="4"/>
    </row>
    <row r="155" ht="15.75" customHeight="1">
      <c r="A155" s="4"/>
      <c r="D155" s="4"/>
    </row>
    <row r="156" ht="15.75" customHeight="1">
      <c r="A156" s="4"/>
      <c r="D156" s="4"/>
    </row>
    <row r="157" ht="15.75" customHeight="1">
      <c r="A157" s="4"/>
      <c r="D157" s="4"/>
    </row>
    <row r="158" ht="15.75" customHeight="1">
      <c r="A158" s="4"/>
      <c r="D158" s="4"/>
    </row>
    <row r="159" ht="15.75" customHeight="1">
      <c r="A159" s="4"/>
      <c r="D159" s="4"/>
    </row>
    <row r="160" ht="15.75" customHeight="1">
      <c r="A160" s="4"/>
      <c r="D160" s="4"/>
    </row>
    <row r="161" ht="15.75" customHeight="1">
      <c r="A161" s="4"/>
      <c r="D161" s="4"/>
    </row>
    <row r="162" ht="15.75" customHeight="1">
      <c r="A162" s="4"/>
      <c r="D162" s="4"/>
    </row>
    <row r="163" ht="15.75" customHeight="1">
      <c r="A163" s="4"/>
      <c r="D163" s="4"/>
    </row>
    <row r="164" ht="15.75" customHeight="1">
      <c r="A164" s="4"/>
      <c r="D164" s="4"/>
    </row>
    <row r="165" ht="15.75" customHeight="1">
      <c r="A165" s="4"/>
      <c r="D165" s="4"/>
    </row>
    <row r="166" ht="15.75" customHeight="1">
      <c r="A166" s="4"/>
      <c r="D166" s="4"/>
    </row>
    <row r="167" ht="15.75" customHeight="1">
      <c r="A167" s="4"/>
      <c r="D167" s="4"/>
    </row>
    <row r="168" ht="15.75" customHeight="1">
      <c r="A168" s="4"/>
      <c r="D168" s="4"/>
    </row>
    <row r="169" ht="15.75" customHeight="1">
      <c r="A169" s="4"/>
      <c r="D169" s="4"/>
    </row>
    <row r="170" ht="15.75" customHeight="1">
      <c r="A170" s="4"/>
      <c r="D170" s="4"/>
    </row>
    <row r="171" ht="15.75" customHeight="1">
      <c r="A171" s="4"/>
      <c r="D171" s="4"/>
    </row>
    <row r="172" ht="15.75" customHeight="1">
      <c r="A172" s="4"/>
      <c r="D172" s="4"/>
    </row>
    <row r="173" ht="15.75" customHeight="1">
      <c r="A173" s="4"/>
      <c r="D173" s="4"/>
    </row>
    <row r="174" ht="15.75" customHeight="1">
      <c r="A174" s="4"/>
      <c r="D174" s="4"/>
    </row>
    <row r="175" ht="15.75" customHeight="1">
      <c r="A175" s="4"/>
      <c r="D175" s="4"/>
    </row>
    <row r="176" ht="15.75" customHeight="1">
      <c r="A176" s="4"/>
      <c r="D176" s="4"/>
    </row>
    <row r="177" ht="15.75" customHeight="1">
      <c r="A177" s="4"/>
      <c r="D177" s="4"/>
    </row>
    <row r="178" ht="15.75" customHeight="1">
      <c r="A178" s="4"/>
      <c r="D178" s="4"/>
    </row>
    <row r="179" ht="15.75" customHeight="1">
      <c r="A179" s="4"/>
      <c r="D179" s="4"/>
    </row>
    <row r="180" ht="15.75" customHeight="1">
      <c r="A180" s="4"/>
      <c r="D180" s="4"/>
    </row>
    <row r="181" ht="15.75" customHeight="1">
      <c r="A181" s="4"/>
      <c r="D181" s="4"/>
    </row>
    <row r="182" ht="15.75" customHeight="1">
      <c r="A182" s="4"/>
      <c r="D182" s="4"/>
    </row>
    <row r="183" ht="15.75" customHeight="1">
      <c r="A183" s="4"/>
      <c r="D183" s="4"/>
    </row>
    <row r="184" ht="15.75" customHeight="1">
      <c r="A184" s="4"/>
      <c r="D184" s="4"/>
    </row>
    <row r="185" ht="15.75" customHeight="1">
      <c r="A185" s="4"/>
      <c r="D185" s="4"/>
    </row>
    <row r="186" ht="15.75" customHeight="1">
      <c r="A186" s="4"/>
      <c r="D186" s="4"/>
    </row>
    <row r="187" ht="15.75" customHeight="1">
      <c r="A187" s="4"/>
      <c r="D187" s="4"/>
    </row>
    <row r="188" ht="15.75" customHeight="1">
      <c r="A188" s="4"/>
      <c r="D188" s="4"/>
    </row>
    <row r="189" ht="15.75" customHeight="1">
      <c r="A189" s="4"/>
      <c r="D189" s="4"/>
    </row>
    <row r="190" ht="15.75" customHeight="1">
      <c r="A190" s="4"/>
      <c r="D190" s="4"/>
    </row>
    <row r="191" ht="15.75" customHeight="1">
      <c r="A191" s="4"/>
      <c r="D191" s="4"/>
    </row>
    <row r="192" ht="15.75" customHeight="1">
      <c r="A192" s="4"/>
      <c r="D192" s="4"/>
    </row>
    <row r="193" ht="15.75" customHeight="1">
      <c r="A193" s="4"/>
      <c r="D193" s="4"/>
    </row>
    <row r="194" ht="15.75" customHeight="1">
      <c r="A194" s="4"/>
      <c r="D194" s="4"/>
    </row>
    <row r="195" ht="15.75" customHeight="1">
      <c r="A195" s="4"/>
      <c r="D195" s="4"/>
    </row>
    <row r="196" ht="15.75" customHeight="1">
      <c r="A196" s="4"/>
      <c r="D196" s="4"/>
    </row>
    <row r="197" ht="15.75" customHeight="1">
      <c r="A197" s="4"/>
      <c r="D197" s="4"/>
    </row>
    <row r="198" ht="15.75" customHeight="1">
      <c r="A198" s="4"/>
      <c r="D198" s="4"/>
    </row>
    <row r="199" ht="15.75" customHeight="1">
      <c r="A199" s="4"/>
      <c r="D199" s="4"/>
    </row>
    <row r="200" ht="15.75" customHeight="1">
      <c r="A200" s="4"/>
      <c r="D200" s="4"/>
    </row>
    <row r="201" ht="15.75" customHeight="1">
      <c r="A201" s="4"/>
      <c r="D201" s="4"/>
    </row>
    <row r="202" ht="15.75" customHeight="1">
      <c r="A202" s="4"/>
      <c r="D202" s="4"/>
    </row>
    <row r="203" ht="15.75" customHeight="1">
      <c r="A203" s="4"/>
      <c r="D203" s="4"/>
    </row>
    <row r="204" ht="15.75" customHeight="1">
      <c r="A204" s="4"/>
      <c r="D204" s="4"/>
    </row>
    <row r="205" ht="15.75" customHeight="1">
      <c r="A205" s="4"/>
      <c r="D205" s="4"/>
    </row>
    <row r="206" ht="15.75" customHeight="1">
      <c r="A206" s="4"/>
      <c r="D206" s="4"/>
    </row>
    <row r="207" ht="15.75" customHeight="1">
      <c r="A207" s="4"/>
      <c r="D207" s="4"/>
    </row>
    <row r="208" ht="15.75" customHeight="1">
      <c r="A208" s="4"/>
      <c r="D208" s="4"/>
    </row>
    <row r="209" ht="15.75" customHeight="1">
      <c r="A209" s="4"/>
      <c r="D209" s="4"/>
    </row>
    <row r="210" ht="15.75" customHeight="1">
      <c r="A210" s="4"/>
      <c r="D210" s="4"/>
    </row>
    <row r="211" ht="15.75" customHeight="1">
      <c r="A211" s="4"/>
      <c r="D211" s="4"/>
    </row>
    <row r="212" ht="15.75" customHeight="1">
      <c r="A212" s="4"/>
      <c r="D212" s="4"/>
    </row>
    <row r="213" ht="15.75" customHeight="1">
      <c r="A213" s="4"/>
      <c r="D213" s="4"/>
    </row>
    <row r="214" ht="15.75" customHeight="1">
      <c r="A214" s="4"/>
      <c r="D214" s="4"/>
    </row>
    <row r="215" ht="15.75" customHeight="1">
      <c r="A215" s="4"/>
      <c r="D215" s="4"/>
    </row>
    <row r="216" ht="15.75" customHeight="1">
      <c r="A216" s="4"/>
      <c r="D216" s="4"/>
    </row>
    <row r="217" ht="15.75" customHeight="1">
      <c r="A217" s="4"/>
      <c r="D217" s="4"/>
    </row>
    <row r="218" ht="15.75" customHeight="1">
      <c r="A218" s="4"/>
      <c r="D218" s="4"/>
    </row>
    <row r="219" ht="15.75" customHeight="1">
      <c r="A219" s="4"/>
      <c r="D219" s="4"/>
    </row>
    <row r="220" ht="15.75" customHeight="1">
      <c r="A220" s="4"/>
      <c r="D220" s="4"/>
    </row>
    <row r="221" ht="15.75" customHeight="1">
      <c r="A221" s="4"/>
      <c r="D221" s="4"/>
    </row>
    <row r="222" ht="15.75" customHeight="1">
      <c r="A222" s="4"/>
      <c r="D222" s="4"/>
    </row>
    <row r="223" ht="15.75" customHeight="1">
      <c r="A223" s="4"/>
      <c r="D223" s="4"/>
    </row>
    <row r="224" ht="15.75" customHeight="1">
      <c r="A224" s="4"/>
      <c r="D224" s="4"/>
    </row>
    <row r="225" ht="15.75" customHeight="1">
      <c r="A225" s="4"/>
      <c r="D225" s="4"/>
    </row>
    <row r="226" ht="15.75" customHeight="1">
      <c r="A226" s="4"/>
      <c r="D226" s="4"/>
    </row>
    <row r="227" ht="15.75" customHeight="1">
      <c r="A227" s="4"/>
      <c r="D227" s="4"/>
    </row>
    <row r="228" ht="15.75" customHeight="1">
      <c r="A228" s="4"/>
      <c r="D228" s="4"/>
    </row>
    <row r="229" ht="15.75" customHeight="1">
      <c r="A229" s="4"/>
      <c r="D229" s="4"/>
    </row>
    <row r="230" ht="15.75" customHeight="1">
      <c r="A230" s="4"/>
      <c r="D230" s="4"/>
    </row>
    <row r="231" ht="15.75" customHeight="1">
      <c r="A231" s="4"/>
      <c r="D231" s="4"/>
    </row>
    <row r="232" ht="15.75" customHeight="1">
      <c r="A232" s="4"/>
      <c r="D232" s="4"/>
    </row>
    <row r="233" ht="15.75" customHeight="1">
      <c r="A233" s="4"/>
      <c r="D233" s="4"/>
    </row>
    <row r="234" ht="15.75" customHeight="1">
      <c r="A234" s="4"/>
      <c r="D234" s="4"/>
    </row>
    <row r="235" ht="15.75" customHeight="1">
      <c r="A235" s="4"/>
      <c r="D235" s="4"/>
    </row>
    <row r="236" ht="15.75" customHeight="1">
      <c r="A236" s="4"/>
      <c r="D236" s="4"/>
    </row>
    <row r="237" ht="15.75" customHeight="1">
      <c r="A237" s="4"/>
      <c r="D237" s="4"/>
    </row>
    <row r="238" ht="15.75" customHeight="1">
      <c r="A238" s="4"/>
      <c r="D238" s="4"/>
    </row>
    <row r="239" ht="15.75" customHeight="1">
      <c r="A239" s="4"/>
      <c r="D239" s="4"/>
    </row>
    <row r="240" ht="15.75" customHeight="1">
      <c r="A240" s="4"/>
      <c r="D240" s="4"/>
    </row>
    <row r="241" ht="15.75" customHeight="1">
      <c r="A241" s="4"/>
      <c r="D241" s="4"/>
    </row>
    <row r="242" ht="15.75" customHeight="1">
      <c r="A242" s="4"/>
      <c r="D242" s="4"/>
    </row>
    <row r="243" ht="15.75" customHeight="1">
      <c r="A243" s="4"/>
      <c r="D243" s="4"/>
    </row>
    <row r="244" ht="15.75" customHeight="1">
      <c r="A244" s="4"/>
      <c r="D244" s="4"/>
    </row>
    <row r="245" ht="15.75" customHeight="1">
      <c r="A245" s="4"/>
      <c r="D245" s="4"/>
    </row>
    <row r="246" ht="15.75" customHeight="1">
      <c r="A246" s="4"/>
      <c r="D246" s="4"/>
    </row>
    <row r="247" ht="15.75" customHeight="1">
      <c r="A247" s="4"/>
      <c r="D247" s="4"/>
    </row>
    <row r="248" ht="15.75" customHeight="1">
      <c r="A248" s="4"/>
      <c r="D248" s="4"/>
    </row>
    <row r="249" ht="15.75" customHeight="1">
      <c r="A249" s="4"/>
      <c r="D249" s="4"/>
    </row>
    <row r="250" ht="15.75" customHeight="1">
      <c r="A250" s="4"/>
      <c r="D250" s="4"/>
    </row>
    <row r="251" ht="15.75" customHeight="1">
      <c r="A251" s="4"/>
      <c r="D251" s="4"/>
    </row>
    <row r="252" ht="15.75" customHeight="1">
      <c r="A252" s="4"/>
      <c r="D252" s="4"/>
    </row>
    <row r="253" ht="15.75" customHeight="1">
      <c r="A253" s="4"/>
      <c r="D253" s="4"/>
    </row>
    <row r="254" ht="15.75" customHeight="1">
      <c r="A254" s="4"/>
      <c r="D254" s="4"/>
    </row>
    <row r="255" ht="15.75" customHeight="1">
      <c r="A255" s="4"/>
      <c r="D255" s="4"/>
    </row>
    <row r="256" ht="15.75" customHeight="1">
      <c r="A256" s="4"/>
      <c r="D256" s="4"/>
    </row>
    <row r="257" ht="15.75" customHeight="1">
      <c r="A257" s="4"/>
      <c r="D257" s="4"/>
    </row>
    <row r="258" ht="15.75" customHeight="1">
      <c r="A258" s="4"/>
      <c r="D258" s="4"/>
    </row>
    <row r="259" ht="15.75" customHeight="1">
      <c r="A259" s="4"/>
      <c r="D259" s="4"/>
    </row>
    <row r="260" ht="15.75" customHeight="1">
      <c r="A260" s="4"/>
      <c r="D260" s="4"/>
    </row>
    <row r="261" ht="15.75" customHeight="1">
      <c r="A261" s="4"/>
      <c r="D261" s="4"/>
    </row>
    <row r="262" ht="15.75" customHeight="1">
      <c r="A262" s="4"/>
      <c r="D262" s="4"/>
    </row>
    <row r="263" ht="15.75" customHeight="1">
      <c r="A263" s="4"/>
      <c r="D263" s="4"/>
    </row>
    <row r="264" ht="15.75" customHeight="1">
      <c r="A264" s="4"/>
      <c r="D264" s="4"/>
    </row>
    <row r="265" ht="15.75" customHeight="1">
      <c r="A265" s="4"/>
      <c r="D265" s="4"/>
    </row>
    <row r="266" ht="15.75" customHeight="1">
      <c r="A266" s="4"/>
      <c r="D266" s="4"/>
    </row>
    <row r="267" ht="15.75" customHeight="1">
      <c r="A267" s="4"/>
      <c r="D267" s="4"/>
    </row>
    <row r="268" ht="15.75" customHeight="1">
      <c r="A268" s="4"/>
      <c r="D268" s="4"/>
    </row>
    <row r="269" ht="15.75" customHeight="1">
      <c r="A269" s="4"/>
      <c r="D269" s="4"/>
    </row>
    <row r="270" ht="15.75" customHeight="1">
      <c r="A270" s="4"/>
      <c r="D270" s="4"/>
    </row>
    <row r="271" ht="15.75" customHeight="1">
      <c r="A271" s="4"/>
      <c r="D271" s="4"/>
    </row>
    <row r="272" ht="15.75" customHeight="1">
      <c r="A272" s="4"/>
      <c r="D272" s="4"/>
    </row>
    <row r="273" ht="15.75" customHeight="1">
      <c r="A273" s="4"/>
      <c r="D273" s="4"/>
    </row>
    <row r="274" ht="15.75" customHeight="1">
      <c r="A274" s="4"/>
      <c r="D274" s="4"/>
    </row>
    <row r="275" ht="15.75" customHeight="1">
      <c r="A275" s="4"/>
      <c r="D275" s="4"/>
    </row>
    <row r="276" ht="15.75" customHeight="1">
      <c r="A276" s="4"/>
      <c r="D276" s="4"/>
    </row>
    <row r="277" ht="15.75" customHeight="1">
      <c r="A277" s="4"/>
      <c r="D277" s="4"/>
    </row>
    <row r="278" ht="15.75" customHeight="1">
      <c r="A278" s="4"/>
      <c r="D278" s="4"/>
    </row>
    <row r="279" ht="15.75" customHeight="1">
      <c r="A279" s="4"/>
      <c r="D279" s="4"/>
    </row>
    <row r="280" ht="15.75" customHeight="1">
      <c r="A280" s="4"/>
      <c r="D280" s="4"/>
    </row>
    <row r="281" ht="15.75" customHeight="1">
      <c r="A281" s="4"/>
      <c r="D281" s="4"/>
    </row>
    <row r="282" ht="15.75" customHeight="1">
      <c r="A282" s="4"/>
      <c r="D282" s="4"/>
    </row>
    <row r="283" ht="15.75" customHeight="1">
      <c r="A283" s="4"/>
      <c r="D283" s="4"/>
    </row>
    <row r="284" ht="15.75" customHeight="1">
      <c r="A284" s="4"/>
      <c r="D284" s="4"/>
    </row>
    <row r="285" ht="15.75" customHeight="1">
      <c r="A285" s="4"/>
      <c r="D285" s="4"/>
    </row>
    <row r="286" ht="15.75" customHeight="1">
      <c r="A286" s="4"/>
      <c r="D286" s="4"/>
    </row>
    <row r="287" ht="15.75" customHeight="1">
      <c r="A287" s="4"/>
      <c r="D287" s="4"/>
    </row>
    <row r="288" ht="15.75" customHeight="1">
      <c r="A288" s="4"/>
      <c r="D288" s="4"/>
    </row>
    <row r="289" ht="15.75" customHeight="1">
      <c r="A289" s="4"/>
      <c r="D289" s="4"/>
    </row>
    <row r="290" ht="15.75" customHeight="1">
      <c r="A290" s="4"/>
      <c r="D290" s="4"/>
    </row>
    <row r="291" ht="15.75" customHeight="1">
      <c r="A291" s="4"/>
      <c r="D291" s="4"/>
    </row>
    <row r="292" ht="15.75" customHeight="1">
      <c r="A292" s="4"/>
      <c r="D292" s="4"/>
    </row>
    <row r="293" ht="15.75" customHeight="1">
      <c r="A293" s="4"/>
      <c r="D293" s="4"/>
    </row>
    <row r="294" ht="15.75" customHeight="1">
      <c r="A294" s="4"/>
      <c r="D294" s="4"/>
    </row>
    <row r="295" ht="15.75" customHeight="1">
      <c r="A295" s="4"/>
      <c r="D295" s="4"/>
    </row>
    <row r="296" ht="15.75" customHeight="1">
      <c r="A296" s="4"/>
      <c r="D296" s="4"/>
    </row>
    <row r="297" ht="15.75" customHeight="1">
      <c r="A297" s="4"/>
      <c r="D297" s="4"/>
    </row>
    <row r="298" ht="15.75" customHeight="1">
      <c r="A298" s="4"/>
      <c r="D298" s="4"/>
    </row>
    <row r="299" ht="15.75" customHeight="1">
      <c r="A299" s="4"/>
      <c r="D299" s="4"/>
    </row>
    <row r="300" ht="15.75" customHeight="1">
      <c r="A300" s="4"/>
      <c r="D300" s="4"/>
    </row>
    <row r="301" ht="15.75" customHeight="1">
      <c r="A301" s="4"/>
      <c r="D301" s="4"/>
    </row>
    <row r="302" ht="15.75" customHeight="1">
      <c r="A302" s="4"/>
      <c r="D302" s="4"/>
    </row>
    <row r="303" ht="15.75" customHeight="1">
      <c r="A303" s="4"/>
      <c r="D303" s="4"/>
    </row>
    <row r="304" ht="15.75" customHeight="1">
      <c r="A304" s="4"/>
      <c r="D304" s="4"/>
    </row>
    <row r="305" ht="15.75" customHeight="1">
      <c r="A305" s="4"/>
      <c r="D305" s="4"/>
    </row>
    <row r="306" ht="15.75" customHeight="1">
      <c r="A306" s="4"/>
      <c r="D306" s="4"/>
    </row>
    <row r="307" ht="15.75" customHeight="1">
      <c r="A307" s="4"/>
      <c r="D307" s="4"/>
    </row>
    <row r="308" ht="15.75" customHeight="1">
      <c r="A308" s="4"/>
      <c r="D308" s="4"/>
    </row>
    <row r="309" ht="15.75" customHeight="1">
      <c r="A309" s="4"/>
      <c r="D309" s="4"/>
    </row>
    <row r="310" ht="15.75" customHeight="1">
      <c r="A310" s="4"/>
      <c r="D310" s="4"/>
    </row>
    <row r="311" ht="15.75" customHeight="1">
      <c r="A311" s="4"/>
      <c r="D311" s="4"/>
    </row>
    <row r="312" ht="15.75" customHeight="1">
      <c r="A312" s="4"/>
      <c r="D312" s="4"/>
    </row>
    <row r="313" ht="15.75" customHeight="1">
      <c r="A313" s="4"/>
      <c r="D313" s="4"/>
    </row>
    <row r="314" ht="15.75" customHeight="1">
      <c r="A314" s="4"/>
      <c r="D314" s="4"/>
    </row>
    <row r="315" ht="15.75" customHeight="1">
      <c r="A315" s="4"/>
      <c r="D315" s="4"/>
    </row>
    <row r="316" ht="15.75" customHeight="1">
      <c r="A316" s="4"/>
      <c r="D316" s="4"/>
    </row>
    <row r="317" ht="15.75" customHeight="1">
      <c r="A317" s="4"/>
      <c r="D317" s="4"/>
    </row>
    <row r="318" ht="15.75" customHeight="1">
      <c r="A318" s="4"/>
      <c r="D318" s="4"/>
    </row>
    <row r="319" ht="15.75" customHeight="1">
      <c r="A319" s="4"/>
      <c r="D319" s="4"/>
    </row>
    <row r="320" ht="15.75" customHeight="1">
      <c r="A320" s="4"/>
      <c r="D320" s="4"/>
    </row>
    <row r="321" ht="15.75" customHeight="1">
      <c r="A321" s="4"/>
      <c r="D321" s="4"/>
    </row>
    <row r="322" ht="15.75" customHeight="1">
      <c r="A322" s="4"/>
      <c r="D322" s="4"/>
    </row>
    <row r="323" ht="15.75" customHeight="1">
      <c r="A323" s="4"/>
      <c r="D323" s="4"/>
    </row>
    <row r="324" ht="15.75" customHeight="1">
      <c r="A324" s="4"/>
      <c r="D324" s="4"/>
    </row>
    <row r="325" ht="15.75" customHeight="1">
      <c r="A325" s="4"/>
      <c r="D325" s="4"/>
    </row>
    <row r="326" ht="15.75" customHeight="1">
      <c r="A326" s="4"/>
      <c r="D326" s="4"/>
    </row>
    <row r="327" ht="15.75" customHeight="1">
      <c r="A327" s="4"/>
      <c r="D327" s="4"/>
    </row>
    <row r="328" ht="15.75" customHeight="1">
      <c r="A328" s="4"/>
      <c r="D328" s="4"/>
    </row>
    <row r="329" ht="15.75" customHeight="1">
      <c r="A329" s="4"/>
      <c r="D329" s="4"/>
    </row>
    <row r="330" ht="15.75" customHeight="1">
      <c r="A330" s="4"/>
      <c r="D330" s="4"/>
    </row>
    <row r="331" ht="15.75" customHeight="1">
      <c r="A331" s="4"/>
      <c r="D331" s="4"/>
    </row>
    <row r="332" ht="15.75" customHeight="1">
      <c r="A332" s="4"/>
      <c r="D332" s="4"/>
    </row>
    <row r="333" ht="15.75" customHeight="1">
      <c r="A333" s="4"/>
      <c r="D333" s="4"/>
    </row>
    <row r="334" ht="15.75" customHeight="1">
      <c r="A334" s="4"/>
      <c r="D334" s="4"/>
    </row>
    <row r="335" ht="15.75" customHeight="1">
      <c r="A335" s="4"/>
      <c r="D335" s="4"/>
    </row>
    <row r="336" ht="15.75" customHeight="1">
      <c r="A336" s="4"/>
      <c r="D336" s="4"/>
    </row>
    <row r="337" ht="15.75" customHeight="1">
      <c r="A337" s="4"/>
      <c r="D337" s="4"/>
    </row>
    <row r="338" ht="15.75" customHeight="1">
      <c r="A338" s="4"/>
      <c r="D338" s="4"/>
    </row>
    <row r="339" ht="15.75" customHeight="1">
      <c r="A339" s="4"/>
      <c r="D339" s="4"/>
    </row>
    <row r="340" ht="15.75" customHeight="1">
      <c r="A340" s="4"/>
      <c r="D340" s="4"/>
    </row>
    <row r="341" ht="15.75" customHeight="1">
      <c r="A341" s="4"/>
      <c r="D341" s="4"/>
    </row>
    <row r="342" ht="15.75" customHeight="1">
      <c r="A342" s="4"/>
      <c r="D342" s="4"/>
    </row>
    <row r="343" ht="15.75" customHeight="1">
      <c r="A343" s="4"/>
      <c r="D343" s="4"/>
    </row>
    <row r="344" ht="15.75" customHeight="1">
      <c r="A344" s="4"/>
      <c r="D344" s="4"/>
    </row>
    <row r="345" ht="15.75" customHeight="1">
      <c r="A345" s="4"/>
      <c r="D345" s="4"/>
    </row>
    <row r="346" ht="15.75" customHeight="1">
      <c r="A346" s="4"/>
      <c r="D346" s="4"/>
    </row>
    <row r="347" ht="15.75" customHeight="1">
      <c r="A347" s="4"/>
      <c r="D347" s="4"/>
    </row>
    <row r="348" ht="15.75" customHeight="1">
      <c r="A348" s="4"/>
      <c r="D348" s="4"/>
    </row>
    <row r="349" ht="15.75" customHeight="1">
      <c r="A349" s="4"/>
      <c r="D349" s="4"/>
    </row>
    <row r="350" ht="15.75" customHeight="1">
      <c r="A350" s="4"/>
      <c r="D350" s="4"/>
    </row>
    <row r="351" ht="15.75" customHeight="1">
      <c r="A351" s="4"/>
      <c r="D351" s="4"/>
    </row>
    <row r="352" ht="15.75" customHeight="1">
      <c r="A352" s="4"/>
      <c r="D352" s="4"/>
    </row>
    <row r="353" ht="15.75" customHeight="1">
      <c r="A353" s="4"/>
      <c r="D353" s="4"/>
    </row>
    <row r="354" ht="15.75" customHeight="1">
      <c r="A354" s="4"/>
      <c r="D354" s="4"/>
    </row>
    <row r="355" ht="15.75" customHeight="1">
      <c r="A355" s="4"/>
      <c r="D355" s="4"/>
    </row>
    <row r="356" ht="15.75" customHeight="1">
      <c r="A356" s="4"/>
      <c r="D356" s="4"/>
    </row>
    <row r="357" ht="15.75" customHeight="1">
      <c r="A357" s="4"/>
      <c r="D357" s="4"/>
    </row>
    <row r="358" ht="15.75" customHeight="1">
      <c r="A358" s="4"/>
      <c r="D358" s="4"/>
    </row>
    <row r="359" ht="15.75" customHeight="1">
      <c r="A359" s="4"/>
      <c r="D359" s="4"/>
    </row>
    <row r="360" ht="15.75" customHeight="1">
      <c r="A360" s="4"/>
      <c r="D360" s="4"/>
    </row>
    <row r="361" ht="15.75" customHeight="1">
      <c r="A361" s="4"/>
      <c r="D361" s="4"/>
    </row>
    <row r="362" ht="15.75" customHeight="1">
      <c r="A362" s="4"/>
      <c r="D362" s="4"/>
    </row>
    <row r="363" ht="15.75" customHeight="1">
      <c r="A363" s="4"/>
      <c r="D363" s="4"/>
    </row>
    <row r="364" ht="15.75" customHeight="1">
      <c r="A364" s="4"/>
      <c r="D364" s="4"/>
    </row>
    <row r="365" ht="15.75" customHeight="1">
      <c r="A365" s="4"/>
      <c r="D365" s="4"/>
    </row>
    <row r="366" ht="15.75" customHeight="1">
      <c r="A366" s="4"/>
      <c r="D366" s="4"/>
    </row>
    <row r="367" ht="15.75" customHeight="1">
      <c r="A367" s="4"/>
      <c r="D367" s="4"/>
    </row>
    <row r="368" ht="15.75" customHeight="1">
      <c r="A368" s="4"/>
      <c r="D368" s="4"/>
    </row>
    <row r="369" ht="15.75" customHeight="1">
      <c r="A369" s="4"/>
      <c r="D369" s="4"/>
    </row>
    <row r="370" ht="15.75" customHeight="1">
      <c r="A370" s="4"/>
      <c r="D370" s="4"/>
    </row>
    <row r="371" ht="15.75" customHeight="1">
      <c r="A371" s="4"/>
      <c r="D371" s="4"/>
    </row>
    <row r="372" ht="15.75" customHeight="1">
      <c r="A372" s="4"/>
      <c r="D372" s="4"/>
    </row>
    <row r="373" ht="15.75" customHeight="1">
      <c r="A373" s="4"/>
      <c r="D373" s="4"/>
    </row>
    <row r="374" ht="15.75" customHeight="1">
      <c r="A374" s="4"/>
      <c r="D374" s="4"/>
    </row>
    <row r="375" ht="15.75" customHeight="1">
      <c r="A375" s="4"/>
      <c r="D375" s="4"/>
    </row>
    <row r="376" ht="15.75" customHeight="1">
      <c r="A376" s="4"/>
      <c r="D376" s="4"/>
    </row>
    <row r="377" ht="15.75" customHeight="1">
      <c r="A377" s="4"/>
      <c r="D377" s="4"/>
    </row>
    <row r="378" ht="15.75" customHeight="1">
      <c r="A378" s="4"/>
      <c r="D378" s="4"/>
    </row>
    <row r="379" ht="15.75" customHeight="1">
      <c r="A379" s="4"/>
      <c r="D379" s="4"/>
    </row>
    <row r="380" ht="15.75" customHeight="1">
      <c r="A380" s="4"/>
      <c r="D380" s="4"/>
    </row>
    <row r="381" ht="15.75" customHeight="1">
      <c r="A381" s="4"/>
      <c r="D381" s="4"/>
    </row>
    <row r="382" ht="15.75" customHeight="1">
      <c r="A382" s="4"/>
      <c r="D382" s="4"/>
    </row>
    <row r="383" ht="15.75" customHeight="1">
      <c r="A383" s="4"/>
      <c r="D383" s="4"/>
    </row>
    <row r="384" ht="15.75" customHeight="1">
      <c r="A384" s="4"/>
      <c r="D384" s="4"/>
    </row>
    <row r="385" ht="15.75" customHeight="1">
      <c r="A385" s="4"/>
      <c r="D385" s="4"/>
    </row>
    <row r="386" ht="15.75" customHeight="1">
      <c r="A386" s="4"/>
      <c r="D386" s="4"/>
    </row>
    <row r="387" ht="15.75" customHeight="1">
      <c r="A387" s="4"/>
      <c r="D387" s="4"/>
    </row>
    <row r="388" ht="15.75" customHeight="1">
      <c r="A388" s="4"/>
      <c r="D388" s="4"/>
    </row>
    <row r="389" ht="15.75" customHeight="1">
      <c r="A389" s="4"/>
      <c r="D389" s="4"/>
    </row>
    <row r="390" ht="15.75" customHeight="1">
      <c r="A390" s="4"/>
      <c r="D390" s="4"/>
    </row>
    <row r="391" ht="15.75" customHeight="1">
      <c r="A391" s="4"/>
      <c r="D391" s="4"/>
    </row>
    <row r="392" ht="15.75" customHeight="1">
      <c r="A392" s="4"/>
      <c r="D392" s="4"/>
    </row>
    <row r="393" ht="15.75" customHeight="1">
      <c r="A393" s="4"/>
      <c r="D393" s="4"/>
    </row>
    <row r="394" ht="15.75" customHeight="1">
      <c r="A394" s="4"/>
      <c r="D394" s="4"/>
    </row>
    <row r="395" ht="15.75" customHeight="1">
      <c r="A395" s="4"/>
      <c r="D395" s="4"/>
    </row>
    <row r="396" ht="15.75" customHeight="1">
      <c r="A396" s="4"/>
      <c r="D396" s="4"/>
    </row>
    <row r="397" ht="15.75" customHeight="1">
      <c r="A397" s="4"/>
      <c r="D397" s="4"/>
    </row>
    <row r="398" ht="15.75" customHeight="1">
      <c r="A398" s="4"/>
      <c r="D398" s="4"/>
    </row>
    <row r="399" ht="15.75" customHeight="1">
      <c r="A399" s="4"/>
      <c r="D399" s="4"/>
    </row>
    <row r="400" ht="15.75" customHeight="1">
      <c r="A400" s="4"/>
      <c r="D400" s="4"/>
    </row>
    <row r="401" ht="15.75" customHeight="1">
      <c r="A401" s="4"/>
      <c r="D401" s="4"/>
    </row>
    <row r="402" ht="15.75" customHeight="1">
      <c r="A402" s="4"/>
      <c r="D402" s="4"/>
    </row>
    <row r="403" ht="15.75" customHeight="1">
      <c r="A403" s="4"/>
      <c r="D403" s="4"/>
    </row>
    <row r="404" ht="15.75" customHeight="1">
      <c r="A404" s="4"/>
      <c r="D404" s="4"/>
    </row>
    <row r="405" ht="15.75" customHeight="1">
      <c r="A405" s="4"/>
      <c r="D405" s="4"/>
    </row>
    <row r="406" ht="15.75" customHeight="1">
      <c r="A406" s="4"/>
      <c r="D406" s="4"/>
    </row>
    <row r="407" ht="15.75" customHeight="1">
      <c r="A407" s="4"/>
      <c r="D407" s="4"/>
    </row>
    <row r="408" ht="15.75" customHeight="1">
      <c r="A408" s="4"/>
      <c r="D408" s="4"/>
    </row>
    <row r="409" ht="15.75" customHeight="1">
      <c r="A409" s="4"/>
      <c r="D409" s="4"/>
    </row>
    <row r="410" ht="15.75" customHeight="1">
      <c r="A410" s="4"/>
      <c r="D410" s="4"/>
    </row>
    <row r="411" ht="15.75" customHeight="1">
      <c r="A411" s="4"/>
      <c r="D411" s="4"/>
    </row>
    <row r="412" ht="15.75" customHeight="1">
      <c r="A412" s="4"/>
      <c r="D412" s="4"/>
    </row>
    <row r="413" ht="15.75" customHeight="1">
      <c r="A413" s="4"/>
      <c r="D413" s="4"/>
    </row>
    <row r="414" ht="15.75" customHeight="1">
      <c r="A414" s="4"/>
      <c r="D414" s="4"/>
    </row>
    <row r="415" ht="15.75" customHeight="1">
      <c r="A415" s="4"/>
      <c r="D415" s="4"/>
    </row>
    <row r="416" ht="15.75" customHeight="1">
      <c r="A416" s="4"/>
      <c r="D416" s="4"/>
    </row>
    <row r="417" ht="15.75" customHeight="1">
      <c r="A417" s="4"/>
      <c r="D417" s="4"/>
    </row>
    <row r="418" ht="15.75" customHeight="1">
      <c r="A418" s="4"/>
      <c r="D418" s="4"/>
    </row>
    <row r="419" ht="15.75" customHeight="1">
      <c r="A419" s="4"/>
      <c r="D419" s="4"/>
    </row>
    <row r="420" ht="15.75" customHeight="1">
      <c r="A420" s="4"/>
      <c r="D420" s="4"/>
    </row>
    <row r="421" ht="15.75" customHeight="1">
      <c r="A421" s="4"/>
      <c r="D421" s="4"/>
    </row>
    <row r="422" ht="15.75" customHeight="1">
      <c r="A422" s="4"/>
      <c r="D422" s="4"/>
    </row>
    <row r="423" ht="15.75" customHeight="1">
      <c r="A423" s="4"/>
      <c r="D423" s="4"/>
    </row>
    <row r="424" ht="15.75" customHeight="1">
      <c r="A424" s="4"/>
      <c r="D424" s="4"/>
    </row>
    <row r="425" ht="15.75" customHeight="1">
      <c r="A425" s="4"/>
      <c r="D425" s="4"/>
    </row>
    <row r="426" ht="15.75" customHeight="1">
      <c r="A426" s="4"/>
      <c r="D426" s="4"/>
    </row>
    <row r="427" ht="15.75" customHeight="1">
      <c r="A427" s="4"/>
      <c r="D427" s="4"/>
    </row>
    <row r="428" ht="15.75" customHeight="1">
      <c r="A428" s="4"/>
      <c r="D428" s="4"/>
    </row>
    <row r="429" ht="15.75" customHeight="1">
      <c r="A429" s="4"/>
      <c r="D429" s="4"/>
    </row>
    <row r="430" ht="15.75" customHeight="1">
      <c r="A430" s="4"/>
      <c r="D430" s="4"/>
    </row>
    <row r="431" ht="15.75" customHeight="1">
      <c r="A431" s="4"/>
      <c r="D431" s="4"/>
    </row>
    <row r="432" ht="15.75" customHeight="1">
      <c r="A432" s="4"/>
      <c r="D432" s="4"/>
    </row>
    <row r="433" ht="15.75" customHeight="1">
      <c r="A433" s="4"/>
      <c r="D433" s="4"/>
    </row>
    <row r="434" ht="15.75" customHeight="1">
      <c r="A434" s="4"/>
      <c r="D434" s="4"/>
    </row>
    <row r="435" ht="15.75" customHeight="1">
      <c r="A435" s="4"/>
      <c r="D435" s="4"/>
    </row>
    <row r="436" ht="15.75" customHeight="1">
      <c r="A436" s="4"/>
      <c r="D436" s="4"/>
    </row>
    <row r="437" ht="15.75" customHeight="1">
      <c r="A437" s="4"/>
      <c r="D437" s="4"/>
    </row>
    <row r="438" ht="15.75" customHeight="1">
      <c r="A438" s="4"/>
      <c r="D438" s="4"/>
    </row>
    <row r="439" ht="15.75" customHeight="1">
      <c r="A439" s="4"/>
      <c r="D439" s="4"/>
    </row>
    <row r="440" ht="15.75" customHeight="1">
      <c r="A440" s="4"/>
      <c r="D440" s="4"/>
    </row>
    <row r="441" ht="15.75" customHeight="1">
      <c r="A441" s="4"/>
      <c r="D441" s="4"/>
    </row>
    <row r="442" ht="15.75" customHeight="1">
      <c r="A442" s="4"/>
      <c r="D442" s="4"/>
    </row>
    <row r="443" ht="15.75" customHeight="1">
      <c r="A443" s="4"/>
      <c r="D443" s="4"/>
    </row>
    <row r="444" ht="15.75" customHeight="1">
      <c r="A444" s="4"/>
      <c r="D444" s="4"/>
    </row>
    <row r="445" ht="15.75" customHeight="1">
      <c r="A445" s="4"/>
      <c r="D445" s="4"/>
    </row>
    <row r="446" ht="15.75" customHeight="1">
      <c r="A446" s="4"/>
      <c r="D446" s="4"/>
    </row>
    <row r="447" ht="15.75" customHeight="1">
      <c r="A447" s="4"/>
      <c r="D447" s="4"/>
    </row>
    <row r="448" ht="15.75" customHeight="1">
      <c r="A448" s="4"/>
      <c r="D448" s="4"/>
    </row>
    <row r="449" ht="15.75" customHeight="1">
      <c r="A449" s="4"/>
      <c r="D449" s="4"/>
    </row>
    <row r="450" ht="15.75" customHeight="1">
      <c r="A450" s="4"/>
      <c r="D450" s="4"/>
    </row>
    <row r="451" ht="15.75" customHeight="1">
      <c r="A451" s="4"/>
      <c r="D451" s="4"/>
    </row>
    <row r="452" ht="15.75" customHeight="1">
      <c r="A452" s="4"/>
      <c r="D452" s="4"/>
    </row>
    <row r="453" ht="15.75" customHeight="1">
      <c r="A453" s="4"/>
      <c r="D453" s="4"/>
    </row>
    <row r="454" ht="15.75" customHeight="1">
      <c r="A454" s="4"/>
      <c r="D454" s="4"/>
    </row>
    <row r="455" ht="15.75" customHeight="1">
      <c r="A455" s="4"/>
      <c r="D455" s="4"/>
    </row>
    <row r="456" ht="15.75" customHeight="1">
      <c r="A456" s="4"/>
      <c r="D456" s="4"/>
    </row>
    <row r="457" ht="15.75" customHeight="1">
      <c r="A457" s="4"/>
      <c r="D457" s="4"/>
    </row>
    <row r="458" ht="15.75" customHeight="1">
      <c r="A458" s="4"/>
      <c r="D458" s="4"/>
    </row>
    <row r="459" ht="15.75" customHeight="1">
      <c r="A459" s="4"/>
      <c r="D459" s="4"/>
    </row>
    <row r="460" ht="15.75" customHeight="1">
      <c r="A460" s="4"/>
      <c r="D460" s="4"/>
    </row>
    <row r="461" ht="15.75" customHeight="1">
      <c r="A461" s="4"/>
      <c r="D461" s="4"/>
    </row>
    <row r="462" ht="15.75" customHeight="1">
      <c r="A462" s="4"/>
      <c r="D462" s="4"/>
    </row>
    <row r="463" ht="15.75" customHeight="1">
      <c r="A463" s="4"/>
      <c r="D463" s="4"/>
    </row>
    <row r="464" ht="15.75" customHeight="1">
      <c r="A464" s="4"/>
      <c r="D464" s="4"/>
    </row>
    <row r="465" ht="15.75" customHeight="1">
      <c r="A465" s="4"/>
      <c r="D465" s="4"/>
    </row>
    <row r="466" ht="15.75" customHeight="1">
      <c r="A466" s="4"/>
      <c r="D466" s="4"/>
    </row>
    <row r="467" ht="15.75" customHeight="1">
      <c r="A467" s="4"/>
      <c r="D467" s="4"/>
    </row>
    <row r="468" ht="15.75" customHeight="1">
      <c r="A468" s="4"/>
      <c r="D468" s="4"/>
    </row>
    <row r="469" ht="15.75" customHeight="1">
      <c r="A469" s="4"/>
      <c r="D469" s="4"/>
    </row>
    <row r="470" ht="15.75" customHeight="1">
      <c r="A470" s="4"/>
      <c r="D470" s="4"/>
    </row>
    <row r="471" ht="15.75" customHeight="1">
      <c r="A471" s="4"/>
      <c r="D471" s="4"/>
    </row>
    <row r="472" ht="15.75" customHeight="1">
      <c r="A472" s="4"/>
      <c r="D472" s="4"/>
    </row>
    <row r="473" ht="15.75" customHeight="1">
      <c r="A473" s="4"/>
      <c r="D473" s="4"/>
    </row>
    <row r="474" ht="15.75" customHeight="1">
      <c r="A474" s="4"/>
      <c r="D474" s="4"/>
    </row>
    <row r="475" ht="15.75" customHeight="1">
      <c r="A475" s="4"/>
      <c r="D475" s="4"/>
    </row>
    <row r="476" ht="15.75" customHeight="1">
      <c r="A476" s="4"/>
      <c r="D476" s="4"/>
    </row>
    <row r="477" ht="15.75" customHeight="1">
      <c r="A477" s="4"/>
      <c r="D477" s="4"/>
    </row>
    <row r="478" ht="15.75" customHeight="1">
      <c r="A478" s="4"/>
      <c r="D478" s="4"/>
    </row>
    <row r="479" ht="15.75" customHeight="1">
      <c r="A479" s="4"/>
      <c r="D479" s="4"/>
    </row>
    <row r="480" ht="15.75" customHeight="1">
      <c r="A480" s="4"/>
      <c r="D480" s="4"/>
    </row>
    <row r="481" ht="15.75" customHeight="1">
      <c r="A481" s="4"/>
      <c r="D481" s="4"/>
    </row>
    <row r="482" ht="15.75" customHeight="1">
      <c r="A482" s="4"/>
      <c r="D482" s="4"/>
    </row>
    <row r="483" ht="15.75" customHeight="1">
      <c r="A483" s="4"/>
      <c r="D483" s="4"/>
    </row>
    <row r="484" ht="15.75" customHeight="1">
      <c r="A484" s="4"/>
      <c r="D484" s="4"/>
    </row>
    <row r="485" ht="15.75" customHeight="1">
      <c r="A485" s="4"/>
      <c r="D485" s="4"/>
    </row>
    <row r="486" ht="15.75" customHeight="1">
      <c r="A486" s="4"/>
      <c r="D486" s="4"/>
    </row>
    <row r="487" ht="15.75" customHeight="1">
      <c r="A487" s="4"/>
      <c r="D487" s="4"/>
    </row>
    <row r="488" ht="15.75" customHeight="1">
      <c r="A488" s="4"/>
      <c r="D488" s="4"/>
    </row>
    <row r="489" ht="15.75" customHeight="1">
      <c r="A489" s="4"/>
      <c r="D489" s="4"/>
    </row>
    <row r="490" ht="15.75" customHeight="1">
      <c r="A490" s="4"/>
      <c r="D490" s="4"/>
    </row>
    <row r="491" ht="15.75" customHeight="1">
      <c r="A491" s="4"/>
      <c r="D491" s="4"/>
    </row>
    <row r="492" ht="15.75" customHeight="1">
      <c r="A492" s="4"/>
      <c r="D492" s="4"/>
    </row>
    <row r="493" ht="15.75" customHeight="1">
      <c r="A493" s="4"/>
      <c r="D493" s="4"/>
    </row>
    <row r="494" ht="15.75" customHeight="1">
      <c r="A494" s="4"/>
      <c r="D494" s="4"/>
    </row>
    <row r="495" ht="15.75" customHeight="1">
      <c r="A495" s="4"/>
      <c r="D495" s="4"/>
    </row>
    <row r="496" ht="15.75" customHeight="1">
      <c r="A496" s="4"/>
      <c r="D496" s="4"/>
    </row>
    <row r="497" ht="15.75" customHeight="1">
      <c r="A497" s="4"/>
      <c r="D497" s="4"/>
    </row>
    <row r="498" ht="15.75" customHeight="1">
      <c r="A498" s="4"/>
      <c r="D498" s="4"/>
    </row>
    <row r="499" ht="15.75" customHeight="1">
      <c r="A499" s="4"/>
      <c r="D499" s="4"/>
    </row>
    <row r="500" ht="15.75" customHeight="1">
      <c r="A500" s="4"/>
      <c r="D500" s="4"/>
    </row>
    <row r="501" ht="15.75" customHeight="1">
      <c r="A501" s="4"/>
      <c r="D501" s="4"/>
    </row>
    <row r="502" ht="15.75" customHeight="1">
      <c r="A502" s="4"/>
      <c r="D502" s="4"/>
    </row>
    <row r="503" ht="15.75" customHeight="1">
      <c r="A503" s="4"/>
      <c r="D503" s="4"/>
    </row>
    <row r="504" ht="15.75" customHeight="1">
      <c r="A504" s="4"/>
      <c r="D504" s="4"/>
    </row>
    <row r="505" ht="15.75" customHeight="1">
      <c r="A505" s="4"/>
      <c r="D505" s="4"/>
    </row>
    <row r="506" ht="15.75" customHeight="1">
      <c r="A506" s="4"/>
      <c r="D506" s="4"/>
    </row>
    <row r="507" ht="15.75" customHeight="1">
      <c r="A507" s="4"/>
      <c r="D507" s="4"/>
    </row>
    <row r="508" ht="15.75" customHeight="1">
      <c r="A508" s="4"/>
      <c r="D508" s="4"/>
    </row>
    <row r="509" ht="15.75" customHeight="1">
      <c r="A509" s="4"/>
      <c r="D509" s="4"/>
    </row>
    <row r="510" ht="15.75" customHeight="1">
      <c r="A510" s="4"/>
      <c r="D510" s="4"/>
    </row>
    <row r="511" ht="15.75" customHeight="1">
      <c r="A511" s="4"/>
      <c r="D511" s="4"/>
    </row>
    <row r="512" ht="15.75" customHeight="1">
      <c r="A512" s="4"/>
      <c r="D512" s="4"/>
    </row>
    <row r="513" ht="15.75" customHeight="1">
      <c r="A513" s="4"/>
      <c r="D513" s="4"/>
    </row>
    <row r="514" ht="15.75" customHeight="1">
      <c r="A514" s="4"/>
      <c r="D514" s="4"/>
    </row>
    <row r="515" ht="15.75" customHeight="1">
      <c r="A515" s="4"/>
      <c r="D515" s="4"/>
    </row>
    <row r="516" ht="15.75" customHeight="1">
      <c r="A516" s="4"/>
      <c r="D516" s="4"/>
    </row>
    <row r="517" ht="15.75" customHeight="1">
      <c r="A517" s="4"/>
      <c r="D517" s="4"/>
    </row>
    <row r="518" ht="15.75" customHeight="1">
      <c r="A518" s="4"/>
      <c r="D518" s="4"/>
    </row>
    <row r="519" ht="15.75" customHeight="1">
      <c r="A519" s="4"/>
      <c r="D519" s="4"/>
    </row>
    <row r="520" ht="15.75" customHeight="1">
      <c r="A520" s="4"/>
      <c r="D520" s="4"/>
    </row>
    <row r="521" ht="15.75" customHeight="1">
      <c r="A521" s="4"/>
      <c r="D521" s="4"/>
    </row>
    <row r="522" ht="15.75" customHeight="1">
      <c r="A522" s="4"/>
      <c r="D522" s="4"/>
    </row>
    <row r="523" ht="15.75" customHeight="1">
      <c r="A523" s="4"/>
      <c r="D523" s="4"/>
    </row>
    <row r="524" ht="15.75" customHeight="1">
      <c r="A524" s="4"/>
      <c r="D524" s="4"/>
    </row>
    <row r="525" ht="15.75" customHeight="1">
      <c r="A525" s="4"/>
      <c r="D525" s="4"/>
    </row>
    <row r="526" ht="15.75" customHeight="1">
      <c r="A526" s="4"/>
      <c r="D526" s="4"/>
    </row>
    <row r="527" ht="15.75" customHeight="1">
      <c r="A527" s="4"/>
      <c r="D527" s="4"/>
    </row>
    <row r="528" ht="15.75" customHeight="1">
      <c r="A528" s="4"/>
      <c r="D528" s="4"/>
    </row>
    <row r="529" ht="15.75" customHeight="1">
      <c r="A529" s="4"/>
      <c r="D529" s="4"/>
    </row>
    <row r="530" ht="15.75" customHeight="1">
      <c r="A530" s="4"/>
      <c r="D530" s="4"/>
    </row>
    <row r="531" ht="15.75" customHeight="1">
      <c r="A531" s="4"/>
      <c r="D531" s="4"/>
    </row>
    <row r="532" ht="15.75" customHeight="1">
      <c r="A532" s="4"/>
      <c r="D532" s="4"/>
    </row>
    <row r="533" ht="15.75" customHeight="1">
      <c r="A533" s="4"/>
      <c r="D533" s="4"/>
    </row>
    <row r="534" ht="15.75" customHeight="1">
      <c r="A534" s="4"/>
      <c r="D534" s="4"/>
    </row>
    <row r="535" ht="15.75" customHeight="1">
      <c r="A535" s="4"/>
      <c r="D535" s="4"/>
    </row>
    <row r="536" ht="15.75" customHeight="1">
      <c r="A536" s="4"/>
      <c r="D536" s="4"/>
    </row>
    <row r="537" ht="15.75" customHeight="1">
      <c r="A537" s="4"/>
      <c r="D537" s="4"/>
    </row>
    <row r="538" ht="15.75" customHeight="1">
      <c r="A538" s="4"/>
      <c r="D538" s="4"/>
    </row>
    <row r="539" ht="15.75" customHeight="1">
      <c r="A539" s="4"/>
      <c r="D539" s="4"/>
    </row>
    <row r="540" ht="15.75" customHeight="1">
      <c r="A540" s="4"/>
      <c r="D540" s="4"/>
    </row>
    <row r="541" ht="15.75" customHeight="1">
      <c r="A541" s="4"/>
      <c r="D541" s="4"/>
    </row>
    <row r="542" ht="15.75" customHeight="1">
      <c r="A542" s="4"/>
      <c r="D542" s="4"/>
    </row>
    <row r="543" ht="15.75" customHeight="1">
      <c r="A543" s="4"/>
      <c r="D543" s="4"/>
    </row>
    <row r="544" ht="15.75" customHeight="1">
      <c r="A544" s="4"/>
      <c r="D544" s="4"/>
    </row>
    <row r="545" ht="15.75" customHeight="1">
      <c r="A545" s="4"/>
      <c r="D545" s="4"/>
    </row>
    <row r="546" ht="15.75" customHeight="1">
      <c r="A546" s="4"/>
      <c r="D546" s="4"/>
    </row>
    <row r="547" ht="15.75" customHeight="1">
      <c r="A547" s="4"/>
      <c r="D547" s="4"/>
    </row>
    <row r="548" ht="15.75" customHeight="1">
      <c r="A548" s="4"/>
      <c r="D548" s="4"/>
    </row>
    <row r="549" ht="15.75" customHeight="1">
      <c r="A549" s="4"/>
      <c r="D549" s="4"/>
    </row>
    <row r="550" ht="15.75" customHeight="1">
      <c r="A550" s="4"/>
      <c r="D550" s="4"/>
    </row>
    <row r="551" ht="15.75" customHeight="1">
      <c r="A551" s="4"/>
      <c r="D551" s="4"/>
    </row>
    <row r="552" ht="15.75" customHeight="1">
      <c r="A552" s="4"/>
      <c r="D552" s="4"/>
    </row>
    <row r="553" ht="15.75" customHeight="1">
      <c r="A553" s="4"/>
      <c r="D553" s="4"/>
    </row>
    <row r="554" ht="15.75" customHeight="1">
      <c r="A554" s="4"/>
      <c r="D554" s="4"/>
    </row>
    <row r="555" ht="15.75" customHeight="1">
      <c r="A555" s="4"/>
      <c r="D555" s="4"/>
    </row>
    <row r="556" ht="15.75" customHeight="1">
      <c r="A556" s="4"/>
      <c r="D556" s="4"/>
    </row>
    <row r="557" ht="15.75" customHeight="1">
      <c r="A557" s="4"/>
      <c r="D557" s="4"/>
    </row>
    <row r="558" ht="15.75" customHeight="1">
      <c r="A558" s="4"/>
      <c r="D558" s="4"/>
    </row>
    <row r="559" ht="15.75" customHeight="1">
      <c r="A559" s="4"/>
      <c r="D559" s="4"/>
    </row>
    <row r="560" ht="15.75" customHeight="1">
      <c r="A560" s="4"/>
      <c r="D560" s="4"/>
    </row>
    <row r="561" ht="15.75" customHeight="1">
      <c r="A561" s="4"/>
      <c r="D561" s="4"/>
    </row>
    <row r="562" ht="15.75" customHeight="1">
      <c r="A562" s="4"/>
      <c r="D562" s="4"/>
    </row>
    <row r="563" ht="15.75" customHeight="1">
      <c r="A563" s="4"/>
      <c r="D563" s="4"/>
    </row>
    <row r="564" ht="15.75" customHeight="1">
      <c r="A564" s="4"/>
      <c r="D564" s="4"/>
    </row>
    <row r="565" ht="15.75" customHeight="1">
      <c r="A565" s="4"/>
      <c r="D565" s="4"/>
    </row>
    <row r="566" ht="15.75" customHeight="1">
      <c r="A566" s="4"/>
      <c r="D566" s="4"/>
    </row>
    <row r="567" ht="15.75" customHeight="1">
      <c r="A567" s="4"/>
      <c r="D567" s="4"/>
    </row>
    <row r="568" ht="15.75" customHeight="1">
      <c r="A568" s="4"/>
      <c r="D568" s="4"/>
    </row>
    <row r="569" ht="15.75" customHeight="1">
      <c r="A569" s="4"/>
      <c r="D569" s="4"/>
    </row>
    <row r="570" ht="15.75" customHeight="1">
      <c r="A570" s="4"/>
      <c r="D570" s="4"/>
    </row>
    <row r="571" ht="15.75" customHeight="1">
      <c r="A571" s="4"/>
      <c r="D571" s="4"/>
    </row>
    <row r="572" ht="15.75" customHeight="1">
      <c r="A572" s="4"/>
      <c r="D572" s="4"/>
    </row>
    <row r="573" ht="15.75" customHeight="1">
      <c r="A573" s="4"/>
      <c r="D573" s="4"/>
    </row>
    <row r="574" ht="15.75" customHeight="1">
      <c r="A574" s="4"/>
      <c r="D574" s="4"/>
    </row>
    <row r="575" ht="15.75" customHeight="1">
      <c r="A575" s="4"/>
      <c r="D575" s="4"/>
    </row>
    <row r="576" ht="15.75" customHeight="1">
      <c r="A576" s="4"/>
      <c r="D576" s="4"/>
    </row>
    <row r="577" ht="15.75" customHeight="1">
      <c r="A577" s="4"/>
      <c r="D577" s="4"/>
    </row>
    <row r="578" ht="15.75" customHeight="1">
      <c r="A578" s="4"/>
      <c r="D578" s="4"/>
    </row>
    <row r="579" ht="15.75" customHeight="1">
      <c r="A579" s="4"/>
      <c r="D579" s="4"/>
    </row>
    <row r="580" ht="15.75" customHeight="1">
      <c r="A580" s="4"/>
      <c r="D580" s="4"/>
    </row>
    <row r="581" ht="15.75" customHeight="1">
      <c r="A581" s="4"/>
      <c r="D581" s="4"/>
    </row>
    <row r="582" ht="15.75" customHeight="1">
      <c r="A582" s="4"/>
      <c r="D582" s="4"/>
    </row>
    <row r="583" ht="15.75" customHeight="1">
      <c r="A583" s="4"/>
      <c r="D583" s="4"/>
    </row>
    <row r="584" ht="15.75" customHeight="1">
      <c r="A584" s="4"/>
      <c r="D584" s="4"/>
    </row>
    <row r="585" ht="15.75" customHeight="1">
      <c r="A585" s="4"/>
      <c r="D585" s="4"/>
    </row>
    <row r="586" ht="15.75" customHeight="1">
      <c r="A586" s="4"/>
      <c r="D586" s="4"/>
    </row>
    <row r="587" ht="15.75" customHeight="1">
      <c r="A587" s="4"/>
      <c r="D587" s="4"/>
    </row>
    <row r="588" ht="15.75" customHeight="1">
      <c r="A588" s="4"/>
      <c r="D588" s="4"/>
    </row>
    <row r="589" ht="15.75" customHeight="1">
      <c r="A589" s="4"/>
      <c r="D589" s="4"/>
    </row>
    <row r="590" ht="15.75" customHeight="1">
      <c r="A590" s="4"/>
      <c r="D590" s="4"/>
    </row>
    <row r="591" ht="15.75" customHeight="1">
      <c r="A591" s="4"/>
      <c r="D591" s="4"/>
    </row>
    <row r="592" ht="15.75" customHeight="1">
      <c r="A592" s="4"/>
      <c r="D592" s="4"/>
    </row>
    <row r="593" ht="15.75" customHeight="1">
      <c r="A593" s="4"/>
      <c r="D593" s="4"/>
    </row>
    <row r="594" ht="15.75" customHeight="1">
      <c r="A594" s="4"/>
      <c r="D594" s="4"/>
    </row>
    <row r="595" ht="15.75" customHeight="1">
      <c r="A595" s="4"/>
      <c r="D595" s="4"/>
    </row>
    <row r="596" ht="15.75" customHeight="1">
      <c r="A596" s="4"/>
      <c r="D596" s="4"/>
    </row>
    <row r="597" ht="15.75" customHeight="1">
      <c r="A597" s="4"/>
      <c r="D597" s="4"/>
    </row>
    <row r="598" ht="15.75" customHeight="1">
      <c r="A598" s="4"/>
      <c r="D598" s="4"/>
    </row>
    <row r="599" ht="15.75" customHeight="1">
      <c r="A599" s="4"/>
      <c r="D599" s="4"/>
    </row>
    <row r="600" ht="15.75" customHeight="1">
      <c r="A600" s="4"/>
      <c r="D600" s="4"/>
    </row>
    <row r="601" ht="15.75" customHeight="1">
      <c r="A601" s="4"/>
      <c r="D601" s="4"/>
    </row>
    <row r="602" ht="15.75" customHeight="1">
      <c r="A602" s="4"/>
      <c r="D602" s="4"/>
    </row>
    <row r="603" ht="15.75" customHeight="1">
      <c r="A603" s="4"/>
      <c r="D603" s="4"/>
    </row>
    <row r="604" ht="15.75" customHeight="1">
      <c r="A604" s="4"/>
      <c r="D604" s="4"/>
    </row>
    <row r="605" ht="15.75" customHeight="1">
      <c r="A605" s="4"/>
      <c r="D605" s="4"/>
    </row>
    <row r="606" ht="15.75" customHeight="1">
      <c r="A606" s="4"/>
      <c r="D606" s="4"/>
    </row>
    <row r="607" ht="15.75" customHeight="1">
      <c r="A607" s="4"/>
      <c r="D607" s="4"/>
    </row>
    <row r="608" ht="15.75" customHeight="1">
      <c r="A608" s="4"/>
      <c r="D608" s="4"/>
    </row>
    <row r="609" ht="15.75" customHeight="1">
      <c r="A609" s="4"/>
      <c r="D609" s="4"/>
    </row>
    <row r="610" ht="15.75" customHeight="1">
      <c r="A610" s="4"/>
      <c r="D610" s="4"/>
    </row>
    <row r="611" ht="15.75" customHeight="1">
      <c r="A611" s="4"/>
      <c r="D611" s="4"/>
    </row>
    <row r="612" ht="15.75" customHeight="1">
      <c r="A612" s="4"/>
      <c r="D612" s="4"/>
    </row>
    <row r="613" ht="15.75" customHeight="1">
      <c r="A613" s="4"/>
      <c r="D613" s="4"/>
    </row>
    <row r="614" ht="15.75" customHeight="1">
      <c r="A614" s="4"/>
      <c r="D614" s="4"/>
    </row>
    <row r="615" ht="15.75" customHeight="1">
      <c r="A615" s="4"/>
      <c r="D615" s="4"/>
    </row>
    <row r="616" ht="15.75" customHeight="1">
      <c r="A616" s="4"/>
      <c r="D616" s="4"/>
    </row>
    <row r="617" ht="15.75" customHeight="1">
      <c r="A617" s="4"/>
      <c r="D617" s="4"/>
    </row>
    <row r="618" ht="15.75" customHeight="1">
      <c r="A618" s="4"/>
      <c r="D618" s="4"/>
    </row>
    <row r="619" ht="15.75" customHeight="1">
      <c r="A619" s="4"/>
      <c r="D619" s="4"/>
    </row>
    <row r="620" ht="15.75" customHeight="1">
      <c r="A620" s="4"/>
      <c r="D620" s="4"/>
    </row>
    <row r="621" ht="15.75" customHeight="1">
      <c r="A621" s="4"/>
      <c r="D621" s="4"/>
    </row>
    <row r="622" ht="15.75" customHeight="1">
      <c r="A622" s="4"/>
      <c r="D622" s="4"/>
    </row>
    <row r="623" ht="15.75" customHeight="1">
      <c r="A623" s="4"/>
      <c r="D623" s="4"/>
    </row>
    <row r="624" ht="15.75" customHeight="1">
      <c r="A624" s="4"/>
      <c r="D624" s="4"/>
    </row>
    <row r="625" ht="15.75" customHeight="1">
      <c r="A625" s="4"/>
      <c r="D625" s="4"/>
    </row>
    <row r="626" ht="15.75" customHeight="1">
      <c r="A626" s="4"/>
      <c r="D626" s="4"/>
    </row>
    <row r="627" ht="15.75" customHeight="1">
      <c r="A627" s="4"/>
      <c r="D627" s="4"/>
    </row>
    <row r="628" ht="15.75" customHeight="1">
      <c r="A628" s="4"/>
      <c r="D628" s="4"/>
    </row>
    <row r="629" ht="15.75" customHeight="1">
      <c r="A629" s="4"/>
      <c r="D629" s="4"/>
    </row>
    <row r="630" ht="15.75" customHeight="1">
      <c r="A630" s="4"/>
      <c r="D630" s="4"/>
    </row>
    <row r="631" ht="15.75" customHeight="1">
      <c r="A631" s="4"/>
      <c r="D631" s="4"/>
    </row>
    <row r="632" ht="15.75" customHeight="1">
      <c r="A632" s="4"/>
      <c r="D632" s="4"/>
    </row>
    <row r="633" ht="15.75" customHeight="1">
      <c r="A633" s="4"/>
      <c r="D633" s="4"/>
    </row>
    <row r="634" ht="15.75" customHeight="1">
      <c r="A634" s="4"/>
      <c r="D634" s="4"/>
    </row>
    <row r="635" ht="15.75" customHeight="1">
      <c r="A635" s="4"/>
      <c r="D635" s="4"/>
    </row>
    <row r="636" ht="15.75" customHeight="1">
      <c r="A636" s="4"/>
      <c r="D636" s="4"/>
    </row>
    <row r="637" ht="15.75" customHeight="1">
      <c r="A637" s="4"/>
      <c r="D637" s="4"/>
    </row>
    <row r="638" ht="15.75" customHeight="1">
      <c r="A638" s="4"/>
      <c r="D638" s="4"/>
    </row>
    <row r="639" ht="15.75" customHeight="1">
      <c r="A639" s="4"/>
      <c r="D639" s="4"/>
    </row>
    <row r="640" ht="15.75" customHeight="1">
      <c r="A640" s="4"/>
      <c r="D640" s="4"/>
    </row>
    <row r="641" ht="15.75" customHeight="1">
      <c r="A641" s="4"/>
      <c r="D641" s="4"/>
    </row>
    <row r="642" ht="15.75" customHeight="1">
      <c r="A642" s="4"/>
      <c r="D642" s="4"/>
    </row>
    <row r="643" ht="15.75" customHeight="1">
      <c r="A643" s="4"/>
      <c r="D643" s="4"/>
    </row>
    <row r="644" ht="15.75" customHeight="1">
      <c r="A644" s="4"/>
      <c r="D644" s="4"/>
    </row>
    <row r="645" ht="15.75" customHeight="1">
      <c r="A645" s="4"/>
      <c r="D645" s="4"/>
    </row>
    <row r="646" ht="15.75" customHeight="1">
      <c r="A646" s="4"/>
      <c r="D646" s="4"/>
    </row>
    <row r="647" ht="15.75" customHeight="1">
      <c r="A647" s="4"/>
      <c r="D647" s="4"/>
    </row>
    <row r="648" ht="15.75" customHeight="1">
      <c r="A648" s="4"/>
      <c r="D648" s="4"/>
    </row>
    <row r="649" ht="15.75" customHeight="1">
      <c r="A649" s="4"/>
      <c r="D649" s="4"/>
    </row>
    <row r="650" ht="15.75" customHeight="1">
      <c r="A650" s="4"/>
      <c r="D650" s="4"/>
    </row>
    <row r="651" ht="15.75" customHeight="1">
      <c r="A651" s="4"/>
      <c r="D651" s="4"/>
    </row>
    <row r="652" ht="15.75" customHeight="1">
      <c r="A652" s="4"/>
      <c r="D652" s="4"/>
    </row>
    <row r="653" ht="15.75" customHeight="1">
      <c r="A653" s="4"/>
      <c r="D653" s="4"/>
    </row>
    <row r="654" ht="15.75" customHeight="1">
      <c r="A654" s="4"/>
      <c r="D654" s="4"/>
    </row>
    <row r="655" ht="15.75" customHeight="1">
      <c r="A655" s="4"/>
      <c r="D655" s="4"/>
    </row>
    <row r="656" ht="15.75" customHeight="1">
      <c r="A656" s="4"/>
      <c r="D656" s="4"/>
    </row>
    <row r="657" ht="15.75" customHeight="1">
      <c r="A657" s="4"/>
      <c r="D657" s="4"/>
    </row>
    <row r="658" ht="15.75" customHeight="1">
      <c r="A658" s="4"/>
      <c r="D658" s="4"/>
    </row>
    <row r="659" ht="15.75" customHeight="1">
      <c r="A659" s="4"/>
      <c r="D659" s="4"/>
    </row>
    <row r="660" ht="15.75" customHeight="1">
      <c r="A660" s="4"/>
      <c r="D660" s="4"/>
    </row>
    <row r="661" ht="15.75" customHeight="1">
      <c r="A661" s="4"/>
      <c r="D661" s="4"/>
    </row>
    <row r="662" ht="15.75" customHeight="1">
      <c r="A662" s="4"/>
      <c r="D662" s="4"/>
    </row>
    <row r="663" ht="15.75" customHeight="1">
      <c r="A663" s="4"/>
      <c r="D663" s="4"/>
    </row>
    <row r="664" ht="15.75" customHeight="1">
      <c r="A664" s="4"/>
      <c r="D664" s="4"/>
    </row>
    <row r="665" ht="15.75" customHeight="1">
      <c r="A665" s="4"/>
      <c r="D665" s="4"/>
    </row>
    <row r="666" ht="15.75" customHeight="1">
      <c r="A666" s="4"/>
      <c r="D666" s="4"/>
    </row>
    <row r="667" ht="15.75" customHeight="1">
      <c r="A667" s="4"/>
      <c r="D667" s="4"/>
    </row>
    <row r="668" ht="15.75" customHeight="1">
      <c r="A668" s="4"/>
      <c r="D668" s="4"/>
    </row>
    <row r="669" ht="15.75" customHeight="1">
      <c r="A669" s="4"/>
      <c r="D669" s="4"/>
    </row>
    <row r="670" ht="15.75" customHeight="1">
      <c r="A670" s="4"/>
      <c r="D670" s="4"/>
    </row>
    <row r="671" ht="15.75" customHeight="1">
      <c r="A671" s="4"/>
      <c r="D671" s="4"/>
    </row>
    <row r="672" ht="15.75" customHeight="1">
      <c r="A672" s="4"/>
      <c r="D672" s="4"/>
    </row>
    <row r="673" ht="15.75" customHeight="1">
      <c r="A673" s="4"/>
      <c r="D673" s="4"/>
    </row>
    <row r="674" ht="15.75" customHeight="1">
      <c r="A674" s="4"/>
      <c r="D674" s="4"/>
    </row>
    <row r="675" ht="15.75" customHeight="1">
      <c r="A675" s="4"/>
      <c r="D675" s="4"/>
    </row>
    <row r="676" ht="15.75" customHeight="1">
      <c r="A676" s="4"/>
      <c r="D676" s="4"/>
    </row>
    <row r="677" ht="15.75" customHeight="1">
      <c r="A677" s="4"/>
      <c r="D677" s="4"/>
    </row>
    <row r="678" ht="15.75" customHeight="1">
      <c r="A678" s="4"/>
      <c r="D678" s="4"/>
    </row>
    <row r="679" ht="15.75" customHeight="1">
      <c r="A679" s="4"/>
      <c r="D679" s="4"/>
    </row>
    <row r="680" ht="15.75" customHeight="1">
      <c r="A680" s="4"/>
      <c r="D680" s="4"/>
    </row>
    <row r="681" ht="15.75" customHeight="1">
      <c r="A681" s="4"/>
      <c r="D681" s="4"/>
    </row>
    <row r="682" ht="15.75" customHeight="1">
      <c r="A682" s="4"/>
      <c r="D682" s="4"/>
    </row>
    <row r="683" ht="15.75" customHeight="1">
      <c r="A683" s="4"/>
      <c r="D683" s="4"/>
    </row>
    <row r="684" ht="15.75" customHeight="1">
      <c r="A684" s="4"/>
      <c r="D684" s="4"/>
    </row>
    <row r="685" ht="15.75" customHeight="1">
      <c r="A685" s="4"/>
      <c r="D685" s="4"/>
    </row>
    <row r="686" ht="15.75" customHeight="1">
      <c r="A686" s="4"/>
      <c r="D686" s="4"/>
    </row>
    <row r="687" ht="15.75" customHeight="1">
      <c r="A687" s="4"/>
      <c r="D687" s="4"/>
    </row>
    <row r="688" ht="15.75" customHeight="1">
      <c r="A688" s="4"/>
      <c r="D688" s="4"/>
    </row>
    <row r="689" ht="15.75" customHeight="1">
      <c r="A689" s="4"/>
      <c r="D689" s="4"/>
    </row>
    <row r="690" ht="15.75" customHeight="1">
      <c r="A690" s="4"/>
      <c r="D690" s="4"/>
    </row>
    <row r="691" ht="15.75" customHeight="1">
      <c r="A691" s="4"/>
      <c r="D691" s="4"/>
    </row>
    <row r="692" ht="15.75" customHeight="1">
      <c r="A692" s="4"/>
      <c r="D692" s="4"/>
    </row>
    <row r="693" ht="15.75" customHeight="1">
      <c r="A693" s="4"/>
      <c r="D693" s="4"/>
    </row>
    <row r="694" ht="15.75" customHeight="1">
      <c r="A694" s="4"/>
      <c r="D694" s="4"/>
    </row>
    <row r="695" ht="15.75" customHeight="1">
      <c r="A695" s="4"/>
      <c r="D695" s="4"/>
    </row>
    <row r="696" ht="15.75" customHeight="1">
      <c r="A696" s="4"/>
      <c r="D696" s="4"/>
    </row>
    <row r="697" ht="15.75" customHeight="1">
      <c r="A697" s="4"/>
      <c r="D697" s="4"/>
    </row>
    <row r="698" ht="15.75" customHeight="1">
      <c r="A698" s="4"/>
      <c r="D698" s="4"/>
    </row>
    <row r="699" ht="15.75" customHeight="1">
      <c r="A699" s="4"/>
      <c r="D699" s="4"/>
    </row>
    <row r="700" ht="15.75" customHeight="1">
      <c r="A700" s="4"/>
      <c r="D700" s="4"/>
    </row>
    <row r="701" ht="15.75" customHeight="1">
      <c r="A701" s="4"/>
      <c r="D701" s="4"/>
    </row>
    <row r="702" ht="15.75" customHeight="1">
      <c r="A702" s="4"/>
      <c r="D702" s="4"/>
    </row>
    <row r="703" ht="15.75" customHeight="1">
      <c r="A703" s="4"/>
      <c r="D703" s="4"/>
    </row>
    <row r="704" ht="15.75" customHeight="1">
      <c r="A704" s="4"/>
      <c r="D704" s="4"/>
    </row>
    <row r="705" ht="15.75" customHeight="1">
      <c r="A705" s="4"/>
      <c r="D705" s="4"/>
    </row>
    <row r="706" ht="15.75" customHeight="1">
      <c r="A706" s="4"/>
      <c r="D706" s="4"/>
    </row>
    <row r="707" ht="15.75" customHeight="1">
      <c r="A707" s="4"/>
      <c r="D707" s="4"/>
    </row>
    <row r="708" ht="15.75" customHeight="1">
      <c r="A708" s="4"/>
      <c r="D708" s="4"/>
    </row>
    <row r="709" ht="15.75" customHeight="1">
      <c r="A709" s="4"/>
      <c r="D709" s="4"/>
    </row>
    <row r="710" ht="15.75" customHeight="1">
      <c r="A710" s="4"/>
      <c r="D710" s="4"/>
    </row>
    <row r="711" ht="15.75" customHeight="1">
      <c r="A711" s="4"/>
      <c r="D711" s="4"/>
    </row>
    <row r="712" ht="15.75" customHeight="1">
      <c r="A712" s="4"/>
      <c r="D712" s="4"/>
    </row>
    <row r="713" ht="15.75" customHeight="1">
      <c r="A713" s="4"/>
      <c r="D713" s="4"/>
    </row>
    <row r="714" ht="15.75" customHeight="1">
      <c r="A714" s="4"/>
      <c r="D714" s="4"/>
    </row>
    <row r="715" ht="15.75" customHeight="1">
      <c r="A715" s="4"/>
      <c r="D715" s="4"/>
    </row>
    <row r="716" ht="15.75" customHeight="1">
      <c r="A716" s="4"/>
      <c r="D716" s="4"/>
    </row>
    <row r="717" ht="15.75" customHeight="1">
      <c r="A717" s="4"/>
      <c r="D717" s="4"/>
    </row>
    <row r="718" ht="15.75" customHeight="1">
      <c r="A718" s="4"/>
      <c r="D718" s="4"/>
    </row>
    <row r="719" ht="15.75" customHeight="1">
      <c r="A719" s="4"/>
      <c r="D719" s="4"/>
    </row>
    <row r="720" ht="15.75" customHeight="1">
      <c r="A720" s="4"/>
      <c r="D720" s="4"/>
    </row>
    <row r="721" ht="15.75" customHeight="1">
      <c r="A721" s="4"/>
      <c r="D721" s="4"/>
    </row>
    <row r="722" ht="15.75" customHeight="1">
      <c r="A722" s="4"/>
      <c r="D722" s="4"/>
    </row>
    <row r="723" ht="15.75" customHeight="1">
      <c r="A723" s="4"/>
      <c r="D723" s="4"/>
    </row>
    <row r="724" ht="15.75" customHeight="1">
      <c r="A724" s="4"/>
      <c r="D724" s="4"/>
    </row>
    <row r="725" ht="15.75" customHeight="1">
      <c r="A725" s="4"/>
      <c r="D725" s="4"/>
    </row>
    <row r="726" ht="15.75" customHeight="1">
      <c r="A726" s="4"/>
      <c r="D726" s="4"/>
    </row>
    <row r="727" ht="15.75" customHeight="1">
      <c r="A727" s="4"/>
      <c r="D727" s="4"/>
    </row>
    <row r="728" ht="15.75" customHeight="1">
      <c r="A728" s="4"/>
      <c r="D728" s="4"/>
    </row>
    <row r="729" ht="15.75" customHeight="1">
      <c r="A729" s="4"/>
      <c r="D729" s="4"/>
    </row>
    <row r="730" ht="15.75" customHeight="1">
      <c r="A730" s="4"/>
      <c r="D730" s="4"/>
    </row>
    <row r="731" ht="15.75" customHeight="1">
      <c r="A731" s="4"/>
      <c r="D731" s="4"/>
    </row>
    <row r="732" ht="15.75" customHeight="1">
      <c r="A732" s="4"/>
      <c r="D732" s="4"/>
    </row>
    <row r="733" ht="15.75" customHeight="1">
      <c r="A733" s="4"/>
      <c r="D733" s="4"/>
    </row>
    <row r="734" ht="15.75" customHeight="1">
      <c r="A734" s="4"/>
      <c r="D734" s="4"/>
    </row>
    <row r="735" ht="15.75" customHeight="1">
      <c r="A735" s="4"/>
      <c r="D735" s="4"/>
    </row>
    <row r="736" ht="15.75" customHeight="1">
      <c r="A736" s="4"/>
      <c r="D736" s="4"/>
    </row>
    <row r="737" ht="15.75" customHeight="1">
      <c r="A737" s="4"/>
      <c r="D737" s="4"/>
    </row>
    <row r="738" ht="15.75" customHeight="1">
      <c r="A738" s="4"/>
      <c r="D738" s="4"/>
    </row>
    <row r="739" ht="15.75" customHeight="1">
      <c r="A739" s="4"/>
      <c r="D739" s="4"/>
    </row>
    <row r="740" ht="15.75" customHeight="1">
      <c r="A740" s="4"/>
      <c r="D740" s="4"/>
    </row>
    <row r="741" ht="15.75" customHeight="1">
      <c r="A741" s="4"/>
      <c r="D741" s="4"/>
    </row>
    <row r="742" ht="15.75" customHeight="1">
      <c r="A742" s="4"/>
      <c r="D742" s="4"/>
    </row>
    <row r="743" ht="15.75" customHeight="1">
      <c r="A743" s="4"/>
      <c r="D743" s="4"/>
    </row>
    <row r="744" ht="15.75" customHeight="1">
      <c r="A744" s="4"/>
      <c r="D744" s="4"/>
    </row>
    <row r="745" ht="15.75" customHeight="1">
      <c r="A745" s="4"/>
      <c r="D745" s="4"/>
    </row>
    <row r="746" ht="15.75" customHeight="1">
      <c r="A746" s="4"/>
      <c r="D746" s="4"/>
    </row>
    <row r="747" ht="15.75" customHeight="1">
      <c r="A747" s="4"/>
      <c r="D747" s="4"/>
    </row>
    <row r="748" ht="15.75" customHeight="1">
      <c r="A748" s="4"/>
      <c r="D748" s="4"/>
    </row>
    <row r="749" ht="15.75" customHeight="1">
      <c r="A749" s="4"/>
      <c r="D749" s="4"/>
    </row>
    <row r="750" ht="15.75" customHeight="1">
      <c r="A750" s="4"/>
      <c r="D750" s="4"/>
    </row>
    <row r="751" ht="15.75" customHeight="1">
      <c r="A751" s="4"/>
      <c r="D751" s="4"/>
    </row>
    <row r="752" ht="15.75" customHeight="1">
      <c r="A752" s="4"/>
      <c r="D752" s="4"/>
    </row>
    <row r="753" ht="15.75" customHeight="1">
      <c r="A753" s="4"/>
      <c r="D753" s="4"/>
    </row>
    <row r="754" ht="15.75" customHeight="1">
      <c r="A754" s="4"/>
      <c r="D754" s="4"/>
    </row>
    <row r="755" ht="15.75" customHeight="1">
      <c r="A755" s="4"/>
      <c r="D755" s="4"/>
    </row>
    <row r="756" ht="15.75" customHeight="1">
      <c r="A756" s="4"/>
      <c r="D756" s="4"/>
    </row>
    <row r="757" ht="15.75" customHeight="1">
      <c r="A757" s="4"/>
      <c r="D757" s="4"/>
    </row>
    <row r="758" ht="15.75" customHeight="1">
      <c r="A758" s="4"/>
      <c r="D758" s="4"/>
    </row>
    <row r="759" ht="15.75" customHeight="1">
      <c r="A759" s="4"/>
      <c r="D759" s="4"/>
    </row>
    <row r="760" ht="15.75" customHeight="1">
      <c r="A760" s="4"/>
      <c r="D760" s="4"/>
    </row>
    <row r="761" ht="15.75" customHeight="1">
      <c r="A761" s="4"/>
      <c r="D761" s="4"/>
    </row>
    <row r="762" ht="15.75" customHeight="1">
      <c r="A762" s="4"/>
      <c r="D762" s="4"/>
    </row>
    <row r="763" ht="15.75" customHeight="1">
      <c r="A763" s="4"/>
      <c r="D763" s="4"/>
    </row>
    <row r="764" ht="15.75" customHeight="1">
      <c r="A764" s="4"/>
      <c r="D764" s="4"/>
    </row>
    <row r="765" ht="15.75" customHeight="1">
      <c r="A765" s="4"/>
      <c r="D765" s="4"/>
    </row>
    <row r="766" ht="15.75" customHeight="1">
      <c r="A766" s="4"/>
      <c r="D766" s="4"/>
    </row>
    <row r="767" ht="15.75" customHeight="1">
      <c r="A767" s="4"/>
      <c r="D767" s="4"/>
    </row>
    <row r="768" ht="15.75" customHeight="1">
      <c r="A768" s="4"/>
      <c r="D768" s="4"/>
    </row>
    <row r="769" ht="15.75" customHeight="1">
      <c r="A769" s="4"/>
      <c r="D769" s="4"/>
    </row>
    <row r="770" ht="15.75" customHeight="1">
      <c r="A770" s="4"/>
      <c r="D770" s="4"/>
    </row>
    <row r="771" ht="15.75" customHeight="1">
      <c r="A771" s="4"/>
      <c r="D771" s="4"/>
    </row>
    <row r="772" ht="15.75" customHeight="1">
      <c r="A772" s="4"/>
      <c r="D772" s="4"/>
    </row>
    <row r="773" ht="15.75" customHeight="1">
      <c r="A773" s="4"/>
      <c r="D773" s="4"/>
    </row>
    <row r="774" ht="15.75" customHeight="1">
      <c r="A774" s="4"/>
      <c r="D774" s="4"/>
    </row>
    <row r="775" ht="15.75" customHeight="1">
      <c r="A775" s="4"/>
      <c r="D775" s="4"/>
    </row>
    <row r="776" ht="15.75" customHeight="1">
      <c r="A776" s="4"/>
      <c r="D776" s="4"/>
    </row>
    <row r="777" ht="15.75" customHeight="1">
      <c r="A777" s="4"/>
      <c r="D777" s="4"/>
    </row>
    <row r="778" ht="15.75" customHeight="1">
      <c r="A778" s="4"/>
      <c r="D778" s="4"/>
    </row>
    <row r="779" ht="15.75" customHeight="1">
      <c r="A779" s="4"/>
      <c r="D779" s="4"/>
    </row>
    <row r="780" ht="15.75" customHeight="1">
      <c r="A780" s="4"/>
      <c r="D780" s="4"/>
    </row>
    <row r="781" ht="15.75" customHeight="1">
      <c r="A781" s="4"/>
      <c r="D781" s="4"/>
    </row>
    <row r="782" ht="15.75" customHeight="1">
      <c r="A782" s="4"/>
      <c r="D782" s="4"/>
    </row>
    <row r="783" ht="15.75" customHeight="1">
      <c r="A783" s="4"/>
      <c r="D783" s="4"/>
    </row>
    <row r="784" ht="15.75" customHeight="1">
      <c r="A784" s="4"/>
      <c r="D784" s="4"/>
    </row>
    <row r="785" ht="15.75" customHeight="1">
      <c r="A785" s="4"/>
      <c r="D785" s="4"/>
    </row>
    <row r="786" ht="15.75" customHeight="1">
      <c r="A786" s="4"/>
      <c r="D786" s="4"/>
    </row>
    <row r="787" ht="15.75" customHeight="1">
      <c r="A787" s="4"/>
      <c r="D787" s="4"/>
    </row>
    <row r="788" ht="15.75" customHeight="1">
      <c r="A788" s="4"/>
      <c r="D788" s="4"/>
    </row>
    <row r="789" ht="15.75" customHeight="1">
      <c r="A789" s="4"/>
      <c r="D789" s="4"/>
    </row>
    <row r="790" ht="15.75" customHeight="1">
      <c r="A790" s="4"/>
      <c r="D790" s="4"/>
    </row>
    <row r="791" ht="15.75" customHeight="1">
      <c r="A791" s="4"/>
      <c r="D791" s="4"/>
    </row>
    <row r="792" ht="15.75" customHeight="1">
      <c r="A792" s="4"/>
      <c r="D792" s="4"/>
    </row>
    <row r="793" ht="15.75" customHeight="1">
      <c r="A793" s="4"/>
      <c r="D793" s="4"/>
    </row>
    <row r="794" ht="15.75" customHeight="1">
      <c r="A794" s="4"/>
      <c r="D794" s="4"/>
    </row>
    <row r="795" ht="15.75" customHeight="1">
      <c r="A795" s="4"/>
      <c r="D795" s="4"/>
    </row>
    <row r="796" ht="15.75" customHeight="1">
      <c r="A796" s="4"/>
      <c r="D796" s="4"/>
    </row>
    <row r="797" ht="15.75" customHeight="1">
      <c r="A797" s="4"/>
      <c r="D797" s="4"/>
    </row>
    <row r="798" ht="15.75" customHeight="1">
      <c r="A798" s="4"/>
      <c r="D798" s="4"/>
    </row>
    <row r="799" ht="15.75" customHeight="1">
      <c r="A799" s="4"/>
      <c r="D799" s="4"/>
    </row>
    <row r="800" ht="15.75" customHeight="1">
      <c r="A800" s="4"/>
      <c r="D800" s="4"/>
    </row>
    <row r="801" ht="15.75" customHeight="1">
      <c r="A801" s="4"/>
      <c r="D801" s="4"/>
    </row>
    <row r="802" ht="15.75" customHeight="1">
      <c r="A802" s="4"/>
      <c r="D802" s="4"/>
    </row>
    <row r="803" ht="15.75" customHeight="1">
      <c r="A803" s="4"/>
      <c r="D803" s="4"/>
    </row>
    <row r="804" ht="15.75" customHeight="1">
      <c r="A804" s="4"/>
      <c r="D804" s="4"/>
    </row>
    <row r="805" ht="15.75" customHeight="1">
      <c r="A805" s="4"/>
      <c r="D805" s="4"/>
    </row>
    <row r="806" ht="15.75" customHeight="1">
      <c r="A806" s="4"/>
      <c r="D806" s="4"/>
    </row>
    <row r="807" ht="15.75" customHeight="1">
      <c r="A807" s="4"/>
      <c r="D807" s="4"/>
    </row>
    <row r="808" ht="15.75" customHeight="1">
      <c r="A808" s="4"/>
      <c r="D808" s="4"/>
    </row>
    <row r="809" ht="15.75" customHeight="1">
      <c r="A809" s="4"/>
      <c r="D809" s="4"/>
    </row>
    <row r="810" ht="15.75" customHeight="1">
      <c r="A810" s="4"/>
      <c r="D810" s="4"/>
    </row>
    <row r="811" ht="15.75" customHeight="1">
      <c r="A811" s="4"/>
      <c r="D811" s="4"/>
    </row>
    <row r="812" ht="15.75" customHeight="1">
      <c r="A812" s="4"/>
      <c r="D812" s="4"/>
    </row>
    <row r="813" ht="15.75" customHeight="1">
      <c r="A813" s="4"/>
      <c r="D813" s="4"/>
    </row>
    <row r="814" ht="15.75" customHeight="1">
      <c r="A814" s="4"/>
      <c r="D814" s="4"/>
    </row>
    <row r="815" ht="15.75" customHeight="1">
      <c r="A815" s="4"/>
      <c r="D815" s="4"/>
    </row>
    <row r="816" ht="15.75" customHeight="1">
      <c r="A816" s="4"/>
      <c r="D816" s="4"/>
    </row>
    <row r="817" ht="15.75" customHeight="1">
      <c r="A817" s="4"/>
      <c r="D817" s="4"/>
    </row>
    <row r="818" ht="15.75" customHeight="1">
      <c r="A818" s="4"/>
      <c r="D818" s="4"/>
    </row>
    <row r="819" ht="15.75" customHeight="1">
      <c r="A819" s="4"/>
      <c r="D819" s="4"/>
    </row>
    <row r="820" ht="15.75" customHeight="1">
      <c r="A820" s="4"/>
      <c r="D820" s="4"/>
    </row>
    <row r="821" ht="15.75" customHeight="1">
      <c r="A821" s="4"/>
      <c r="D821" s="4"/>
    </row>
    <row r="822" ht="15.75" customHeight="1">
      <c r="A822" s="4"/>
      <c r="D822" s="4"/>
    </row>
    <row r="823" ht="15.75" customHeight="1">
      <c r="A823" s="4"/>
      <c r="D823" s="4"/>
    </row>
    <row r="824" ht="15.75" customHeight="1">
      <c r="A824" s="4"/>
      <c r="D824" s="4"/>
    </row>
    <row r="825" ht="15.75" customHeight="1">
      <c r="A825" s="4"/>
      <c r="D825" s="4"/>
    </row>
    <row r="826" ht="15.75" customHeight="1">
      <c r="A826" s="4"/>
      <c r="D826" s="4"/>
    </row>
    <row r="827" ht="15.75" customHeight="1">
      <c r="A827" s="4"/>
      <c r="D827" s="4"/>
    </row>
    <row r="828" ht="15.75" customHeight="1">
      <c r="A828" s="4"/>
      <c r="D828" s="4"/>
    </row>
    <row r="829" ht="15.75" customHeight="1">
      <c r="A829" s="4"/>
      <c r="D829" s="4"/>
    </row>
    <row r="830" ht="15.75" customHeight="1">
      <c r="A830" s="4"/>
      <c r="D830" s="4"/>
    </row>
    <row r="831" ht="15.75" customHeight="1">
      <c r="A831" s="4"/>
      <c r="D831" s="4"/>
    </row>
    <row r="832" ht="15.75" customHeight="1">
      <c r="A832" s="4"/>
      <c r="D832" s="4"/>
    </row>
    <row r="833" ht="15.75" customHeight="1">
      <c r="A833" s="4"/>
      <c r="D833" s="4"/>
    </row>
    <row r="834" ht="15.75" customHeight="1">
      <c r="A834" s="4"/>
      <c r="D834" s="4"/>
    </row>
    <row r="835" ht="15.75" customHeight="1">
      <c r="A835" s="4"/>
      <c r="D835" s="4"/>
    </row>
    <row r="836" ht="15.75" customHeight="1">
      <c r="A836" s="4"/>
      <c r="D836" s="4"/>
    </row>
    <row r="837" ht="15.75" customHeight="1">
      <c r="A837" s="4"/>
      <c r="D837" s="4"/>
    </row>
    <row r="838" ht="15.75" customHeight="1">
      <c r="A838" s="4"/>
      <c r="D838" s="4"/>
    </row>
    <row r="839" ht="15.75" customHeight="1">
      <c r="A839" s="4"/>
      <c r="D839" s="4"/>
    </row>
    <row r="840" ht="15.75" customHeight="1">
      <c r="A840" s="4"/>
      <c r="D840" s="4"/>
    </row>
    <row r="841" ht="15.75" customHeight="1">
      <c r="A841" s="4"/>
      <c r="D841" s="4"/>
    </row>
    <row r="842" ht="15.75" customHeight="1">
      <c r="A842" s="4"/>
      <c r="D842" s="4"/>
    </row>
    <row r="843" ht="15.75" customHeight="1">
      <c r="A843" s="4"/>
      <c r="D843" s="4"/>
    </row>
    <row r="844" ht="15.75" customHeight="1">
      <c r="A844" s="4"/>
      <c r="D844" s="4"/>
    </row>
    <row r="845" ht="15.75" customHeight="1">
      <c r="A845" s="4"/>
      <c r="D845" s="4"/>
    </row>
    <row r="846" ht="15.75" customHeight="1">
      <c r="A846" s="4"/>
      <c r="D846" s="4"/>
    </row>
    <row r="847" ht="15.75" customHeight="1">
      <c r="A847" s="4"/>
      <c r="D847" s="4"/>
    </row>
    <row r="848" ht="15.75" customHeight="1">
      <c r="A848" s="4"/>
      <c r="D848" s="4"/>
    </row>
    <row r="849" ht="15.75" customHeight="1">
      <c r="A849" s="4"/>
      <c r="D849" s="4"/>
    </row>
    <row r="850" ht="15.75" customHeight="1">
      <c r="A850" s="4"/>
      <c r="D850" s="4"/>
    </row>
    <row r="851" ht="15.75" customHeight="1">
      <c r="A851" s="4"/>
      <c r="D851" s="4"/>
    </row>
    <row r="852" ht="15.75" customHeight="1">
      <c r="A852" s="4"/>
      <c r="D852" s="4"/>
    </row>
    <row r="853" ht="15.75" customHeight="1">
      <c r="A853" s="4"/>
      <c r="D853" s="4"/>
    </row>
    <row r="854" ht="15.75" customHeight="1">
      <c r="A854" s="4"/>
      <c r="D854" s="4"/>
    </row>
    <row r="855" ht="15.75" customHeight="1">
      <c r="A855" s="4"/>
      <c r="D855" s="4"/>
    </row>
    <row r="856" ht="15.75" customHeight="1">
      <c r="A856" s="4"/>
      <c r="D856" s="4"/>
    </row>
    <row r="857" ht="15.75" customHeight="1">
      <c r="A857" s="4"/>
      <c r="D857" s="4"/>
    </row>
    <row r="858" ht="15.75" customHeight="1">
      <c r="A858" s="4"/>
      <c r="D858" s="4"/>
    </row>
    <row r="859" ht="15.75" customHeight="1">
      <c r="A859" s="4"/>
      <c r="D859" s="4"/>
    </row>
    <row r="860" ht="15.75" customHeight="1">
      <c r="A860" s="4"/>
      <c r="D860" s="4"/>
    </row>
    <row r="861" ht="15.75" customHeight="1">
      <c r="A861" s="4"/>
      <c r="D861" s="4"/>
    </row>
    <row r="862" ht="15.75" customHeight="1">
      <c r="A862" s="4"/>
      <c r="D862" s="4"/>
    </row>
    <row r="863" ht="15.75" customHeight="1">
      <c r="A863" s="4"/>
      <c r="D863" s="4"/>
    </row>
    <row r="864" ht="15.75" customHeight="1">
      <c r="A864" s="4"/>
      <c r="D864" s="4"/>
    </row>
    <row r="865" ht="15.75" customHeight="1">
      <c r="A865" s="4"/>
      <c r="D865" s="4"/>
    </row>
    <row r="866" ht="15.75" customHeight="1">
      <c r="A866" s="4"/>
      <c r="D866" s="4"/>
    </row>
    <row r="867" ht="15.75" customHeight="1">
      <c r="A867" s="4"/>
      <c r="D867" s="4"/>
    </row>
    <row r="868" ht="15.75" customHeight="1">
      <c r="A868" s="4"/>
      <c r="D868" s="4"/>
    </row>
    <row r="869" ht="15.75" customHeight="1">
      <c r="A869" s="4"/>
      <c r="D869" s="4"/>
    </row>
    <row r="870" ht="15.75" customHeight="1">
      <c r="A870" s="4"/>
      <c r="D870" s="4"/>
    </row>
    <row r="871" ht="15.75" customHeight="1">
      <c r="A871" s="4"/>
      <c r="D871" s="4"/>
    </row>
    <row r="872" ht="15.75" customHeight="1">
      <c r="A872" s="4"/>
      <c r="D872" s="4"/>
    </row>
    <row r="873" ht="15.75" customHeight="1">
      <c r="A873" s="4"/>
      <c r="D873" s="4"/>
    </row>
    <row r="874" ht="15.75" customHeight="1">
      <c r="A874" s="4"/>
      <c r="D874" s="4"/>
    </row>
    <row r="875" ht="15.75" customHeight="1">
      <c r="A875" s="4"/>
      <c r="D875" s="4"/>
    </row>
    <row r="876" ht="15.75" customHeight="1">
      <c r="A876" s="4"/>
      <c r="D876" s="4"/>
    </row>
    <row r="877" ht="15.75" customHeight="1">
      <c r="A877" s="4"/>
      <c r="D877" s="4"/>
    </row>
    <row r="878" ht="15.75" customHeight="1">
      <c r="A878" s="4"/>
      <c r="D878" s="4"/>
    </row>
    <row r="879" ht="15.75" customHeight="1">
      <c r="A879" s="4"/>
      <c r="D879" s="4"/>
    </row>
    <row r="880" ht="15.75" customHeight="1">
      <c r="A880" s="4"/>
      <c r="D880" s="4"/>
    </row>
    <row r="881" ht="15.75" customHeight="1">
      <c r="A881" s="4"/>
      <c r="D881" s="4"/>
    </row>
    <row r="882" ht="15.75" customHeight="1">
      <c r="A882" s="4"/>
      <c r="D882" s="4"/>
    </row>
    <row r="883" ht="15.75" customHeight="1">
      <c r="A883" s="4"/>
      <c r="D883" s="4"/>
    </row>
    <row r="884" ht="15.75" customHeight="1">
      <c r="A884" s="4"/>
      <c r="D884" s="4"/>
    </row>
    <row r="885" ht="15.75" customHeight="1">
      <c r="A885" s="4"/>
      <c r="D885" s="4"/>
    </row>
    <row r="886" ht="15.75" customHeight="1">
      <c r="A886" s="4"/>
      <c r="D886" s="4"/>
    </row>
    <row r="887" ht="15.75" customHeight="1">
      <c r="A887" s="4"/>
      <c r="D887" s="4"/>
    </row>
    <row r="888" ht="15.75" customHeight="1">
      <c r="A888" s="4"/>
      <c r="D888" s="4"/>
    </row>
    <row r="889" ht="15.75" customHeight="1">
      <c r="A889" s="4"/>
      <c r="D889" s="4"/>
    </row>
    <row r="890" ht="15.75" customHeight="1">
      <c r="A890" s="4"/>
      <c r="D890" s="4"/>
    </row>
    <row r="891" ht="15.75" customHeight="1">
      <c r="A891" s="4"/>
      <c r="D891" s="4"/>
    </row>
    <row r="892" ht="15.75" customHeight="1">
      <c r="A892" s="4"/>
      <c r="D892" s="4"/>
    </row>
    <row r="893" ht="15.75" customHeight="1">
      <c r="A893" s="4"/>
      <c r="D893" s="4"/>
    </row>
    <row r="894" ht="15.75" customHeight="1">
      <c r="A894" s="4"/>
      <c r="D894" s="4"/>
    </row>
    <row r="895" ht="15.75" customHeight="1">
      <c r="A895" s="4"/>
      <c r="D895" s="4"/>
    </row>
    <row r="896" ht="15.75" customHeight="1">
      <c r="A896" s="4"/>
      <c r="D896" s="4"/>
    </row>
    <row r="897" ht="15.75" customHeight="1">
      <c r="A897" s="4"/>
      <c r="D897" s="4"/>
    </row>
    <row r="898" ht="15.75" customHeight="1">
      <c r="A898" s="4"/>
      <c r="D898" s="4"/>
    </row>
    <row r="899" ht="15.75" customHeight="1">
      <c r="A899" s="4"/>
      <c r="D899" s="4"/>
    </row>
    <row r="900" ht="15.75" customHeight="1">
      <c r="A900" s="4"/>
      <c r="D900" s="4"/>
    </row>
    <row r="901" ht="15.75" customHeight="1">
      <c r="A901" s="4"/>
      <c r="D901" s="4"/>
    </row>
    <row r="902" ht="15.75" customHeight="1">
      <c r="A902" s="4"/>
      <c r="D902" s="4"/>
    </row>
    <row r="903" ht="15.75" customHeight="1">
      <c r="A903" s="4"/>
      <c r="D903" s="4"/>
    </row>
    <row r="904" ht="15.75" customHeight="1">
      <c r="A904" s="4"/>
      <c r="D904" s="4"/>
    </row>
    <row r="905" ht="15.75" customHeight="1">
      <c r="A905" s="4"/>
      <c r="D905" s="4"/>
    </row>
    <row r="906" ht="15.75" customHeight="1">
      <c r="A906" s="4"/>
      <c r="D906" s="4"/>
    </row>
    <row r="907" ht="15.75" customHeight="1">
      <c r="A907" s="4"/>
      <c r="D907" s="4"/>
    </row>
    <row r="908" ht="15.75" customHeight="1">
      <c r="A908" s="4"/>
      <c r="D908" s="4"/>
    </row>
    <row r="909" ht="15.75" customHeight="1">
      <c r="A909" s="4"/>
      <c r="D909" s="4"/>
    </row>
    <row r="910" ht="15.75" customHeight="1">
      <c r="A910" s="4"/>
      <c r="D910" s="4"/>
    </row>
    <row r="911" ht="15.75" customHeight="1">
      <c r="A911" s="4"/>
      <c r="D911" s="4"/>
    </row>
    <row r="912" ht="15.75" customHeight="1">
      <c r="A912" s="4"/>
      <c r="D912" s="4"/>
    </row>
    <row r="913" ht="15.75" customHeight="1">
      <c r="A913" s="4"/>
      <c r="D913" s="4"/>
    </row>
    <row r="914" ht="15.75" customHeight="1">
      <c r="A914" s="4"/>
      <c r="D914" s="4"/>
    </row>
    <row r="915" ht="15.75" customHeight="1">
      <c r="A915" s="4"/>
      <c r="D915" s="4"/>
    </row>
    <row r="916" ht="15.75" customHeight="1">
      <c r="A916" s="4"/>
      <c r="D916" s="4"/>
    </row>
    <row r="917" ht="15.75" customHeight="1">
      <c r="A917" s="4"/>
      <c r="D917" s="4"/>
    </row>
    <row r="918" ht="15.75" customHeight="1">
      <c r="A918" s="4"/>
      <c r="D918" s="4"/>
    </row>
    <row r="919" ht="15.75" customHeight="1">
      <c r="A919" s="4"/>
      <c r="D919" s="4"/>
    </row>
    <row r="920" ht="15.75" customHeight="1">
      <c r="A920" s="4"/>
      <c r="D920" s="4"/>
    </row>
    <row r="921" ht="15.75" customHeight="1">
      <c r="A921" s="4"/>
      <c r="D921" s="4"/>
    </row>
    <row r="922" ht="15.75" customHeight="1">
      <c r="A922" s="4"/>
      <c r="D922" s="4"/>
    </row>
    <row r="923" ht="15.75" customHeight="1">
      <c r="A923" s="4"/>
      <c r="D923" s="4"/>
    </row>
    <row r="924" ht="15.75" customHeight="1">
      <c r="A924" s="4"/>
      <c r="D924" s="4"/>
    </row>
    <row r="925" ht="15.75" customHeight="1">
      <c r="A925" s="4"/>
      <c r="D925" s="4"/>
    </row>
    <row r="926" ht="15.75" customHeight="1">
      <c r="A926" s="4"/>
      <c r="D926" s="4"/>
    </row>
    <row r="927" ht="15.75" customHeight="1">
      <c r="A927" s="4"/>
      <c r="D927" s="4"/>
    </row>
    <row r="928" ht="15.75" customHeight="1">
      <c r="A928" s="4"/>
      <c r="D928" s="4"/>
    </row>
    <row r="929" ht="15.75" customHeight="1">
      <c r="A929" s="4"/>
      <c r="D929" s="4"/>
    </row>
    <row r="930" ht="15.75" customHeight="1">
      <c r="A930" s="4"/>
      <c r="D930" s="4"/>
    </row>
    <row r="931" ht="15.75" customHeight="1">
      <c r="A931" s="4"/>
      <c r="D931" s="4"/>
    </row>
    <row r="932" ht="15.75" customHeight="1">
      <c r="A932" s="4"/>
      <c r="D932" s="4"/>
    </row>
    <row r="933" ht="15.75" customHeight="1">
      <c r="A933" s="4"/>
      <c r="D933" s="4"/>
    </row>
    <row r="934" ht="15.75" customHeight="1">
      <c r="A934" s="4"/>
      <c r="D934" s="4"/>
    </row>
    <row r="935" ht="15.75" customHeight="1">
      <c r="A935" s="4"/>
      <c r="D935" s="4"/>
    </row>
    <row r="936" ht="15.75" customHeight="1">
      <c r="A936" s="4"/>
      <c r="D936" s="4"/>
    </row>
    <row r="937" ht="15.75" customHeight="1">
      <c r="A937" s="4"/>
      <c r="D937" s="4"/>
    </row>
    <row r="938" ht="15.75" customHeight="1">
      <c r="A938" s="4"/>
      <c r="D938" s="4"/>
    </row>
    <row r="939" ht="15.75" customHeight="1">
      <c r="A939" s="4"/>
      <c r="D939" s="4"/>
    </row>
    <row r="940" ht="15.75" customHeight="1">
      <c r="A940" s="4"/>
      <c r="D940" s="4"/>
    </row>
    <row r="941" ht="15.75" customHeight="1">
      <c r="A941" s="4"/>
      <c r="D941" s="4"/>
    </row>
    <row r="942" ht="15.75" customHeight="1">
      <c r="A942" s="4"/>
      <c r="D942" s="4"/>
    </row>
    <row r="943" ht="15.75" customHeight="1">
      <c r="A943" s="4"/>
      <c r="D943" s="4"/>
    </row>
    <row r="944" ht="15.75" customHeight="1">
      <c r="A944" s="4"/>
      <c r="D944" s="4"/>
    </row>
    <row r="945" ht="15.75" customHeight="1">
      <c r="A945" s="4"/>
      <c r="D945" s="4"/>
    </row>
    <row r="946" ht="15.75" customHeight="1">
      <c r="A946" s="4"/>
      <c r="D946" s="4"/>
    </row>
    <row r="947" ht="15.75" customHeight="1">
      <c r="A947" s="4"/>
      <c r="D947" s="4"/>
    </row>
    <row r="948" ht="15.75" customHeight="1">
      <c r="A948" s="4"/>
      <c r="D948" s="4"/>
    </row>
    <row r="949" ht="15.75" customHeight="1">
      <c r="A949" s="4"/>
      <c r="D949" s="4"/>
    </row>
    <row r="950" ht="15.75" customHeight="1">
      <c r="A950" s="4"/>
      <c r="D950" s="4"/>
    </row>
    <row r="951" ht="15.75" customHeight="1">
      <c r="A951" s="4"/>
      <c r="D951" s="4"/>
    </row>
    <row r="952" ht="15.75" customHeight="1">
      <c r="A952" s="4"/>
      <c r="D952" s="4"/>
    </row>
    <row r="953" ht="15.75" customHeight="1">
      <c r="A953" s="4"/>
      <c r="D953" s="4"/>
    </row>
    <row r="954" ht="15.75" customHeight="1">
      <c r="A954" s="4"/>
      <c r="D954" s="4"/>
    </row>
    <row r="955" ht="15.75" customHeight="1">
      <c r="A955" s="4"/>
      <c r="D955" s="4"/>
    </row>
    <row r="956" ht="15.75" customHeight="1">
      <c r="A956" s="4"/>
      <c r="D956" s="4"/>
    </row>
    <row r="957" ht="15.75" customHeight="1">
      <c r="A957" s="4"/>
      <c r="D957" s="4"/>
    </row>
    <row r="958" ht="15.75" customHeight="1">
      <c r="A958" s="4"/>
      <c r="D958" s="4"/>
    </row>
    <row r="959" ht="15.75" customHeight="1">
      <c r="A959" s="4"/>
      <c r="D959" s="4"/>
    </row>
    <row r="960" ht="15.75" customHeight="1">
      <c r="A960" s="4"/>
      <c r="D960" s="4"/>
    </row>
    <row r="961" ht="15.75" customHeight="1">
      <c r="A961" s="4"/>
      <c r="D961" s="4"/>
    </row>
    <row r="962" ht="15.75" customHeight="1">
      <c r="A962" s="4"/>
      <c r="D962" s="4"/>
    </row>
    <row r="963" ht="15.75" customHeight="1">
      <c r="A963" s="4"/>
      <c r="D963" s="4"/>
    </row>
    <row r="964" ht="15.75" customHeight="1">
      <c r="A964" s="4"/>
      <c r="D964" s="4"/>
    </row>
    <row r="965" ht="15.75" customHeight="1">
      <c r="A965" s="4"/>
      <c r="D965" s="4"/>
    </row>
    <row r="966" ht="15.75" customHeight="1">
      <c r="A966" s="4"/>
      <c r="D966" s="4"/>
    </row>
    <row r="967" ht="15.75" customHeight="1">
      <c r="A967" s="4"/>
      <c r="D967" s="4"/>
    </row>
    <row r="968" ht="15.75" customHeight="1">
      <c r="A968" s="4"/>
      <c r="D968" s="4"/>
    </row>
    <row r="969" ht="15.75" customHeight="1">
      <c r="A969" s="4"/>
      <c r="D969" s="4"/>
    </row>
    <row r="970" ht="15.75" customHeight="1">
      <c r="A970" s="4"/>
      <c r="D970" s="4"/>
    </row>
    <row r="971" ht="15.75" customHeight="1">
      <c r="A971" s="4"/>
      <c r="D971" s="4"/>
    </row>
    <row r="972" ht="15.75" customHeight="1">
      <c r="A972" s="4"/>
      <c r="D972" s="4"/>
    </row>
    <row r="973" ht="15.75" customHeight="1">
      <c r="A973" s="4"/>
      <c r="D973" s="4"/>
    </row>
    <row r="974" ht="15.75" customHeight="1">
      <c r="A974" s="4"/>
      <c r="D974" s="4"/>
    </row>
    <row r="975" ht="15.75" customHeight="1">
      <c r="A975" s="4"/>
      <c r="D975" s="4"/>
    </row>
    <row r="976" ht="15.75" customHeight="1">
      <c r="A976" s="4"/>
      <c r="D976" s="4"/>
    </row>
    <row r="977" ht="15.75" customHeight="1">
      <c r="A977" s="4"/>
      <c r="D977" s="4"/>
    </row>
    <row r="978" ht="15.75" customHeight="1">
      <c r="A978" s="4"/>
      <c r="D978" s="4"/>
    </row>
    <row r="979" ht="15.75" customHeight="1">
      <c r="A979" s="4"/>
      <c r="D979" s="4"/>
    </row>
    <row r="980" ht="15.75" customHeight="1">
      <c r="A980" s="4"/>
      <c r="D980" s="4"/>
    </row>
    <row r="981" ht="15.75" customHeight="1">
      <c r="A981" s="4"/>
      <c r="D981" s="4"/>
    </row>
    <row r="982" ht="15.75" customHeight="1">
      <c r="A982" s="4"/>
      <c r="D982" s="4"/>
    </row>
    <row r="983" ht="15.75" customHeight="1">
      <c r="A983" s="4"/>
      <c r="D983" s="4"/>
    </row>
    <row r="984" ht="15.75" customHeight="1">
      <c r="A984" s="4"/>
      <c r="D984" s="4"/>
    </row>
    <row r="985" ht="15.75" customHeight="1">
      <c r="A985" s="4"/>
      <c r="D985" s="4"/>
    </row>
    <row r="986" ht="15.75" customHeight="1">
      <c r="A986" s="4"/>
      <c r="D986" s="4"/>
    </row>
    <row r="987" ht="15.75" customHeight="1">
      <c r="A987" s="4"/>
      <c r="D987" s="4"/>
    </row>
    <row r="988" ht="15.75" customHeight="1">
      <c r="A988" s="4"/>
      <c r="D988" s="4"/>
    </row>
    <row r="989" ht="15.75" customHeight="1">
      <c r="A989" s="4"/>
      <c r="D989" s="4"/>
    </row>
    <row r="990" ht="15.75" customHeight="1">
      <c r="A990" s="4"/>
      <c r="D990" s="4"/>
    </row>
    <row r="991" ht="15.75" customHeight="1">
      <c r="A991" s="4"/>
      <c r="D991" s="4"/>
    </row>
    <row r="992" ht="15.75" customHeight="1">
      <c r="A992" s="4"/>
      <c r="D992" s="4"/>
    </row>
    <row r="993" ht="15.75" customHeight="1">
      <c r="A993" s="4"/>
      <c r="D993" s="4"/>
    </row>
    <row r="994" ht="15.75" customHeight="1">
      <c r="A994" s="4"/>
      <c r="D994" s="4"/>
    </row>
    <row r="995" ht="15.75" customHeight="1">
      <c r="A995" s="4"/>
      <c r="D995" s="4"/>
    </row>
    <row r="996" ht="15.75" customHeight="1">
      <c r="A996" s="4"/>
      <c r="D996" s="4"/>
    </row>
    <row r="997" ht="15.75" customHeight="1">
      <c r="A997" s="4"/>
      <c r="D997" s="4"/>
    </row>
    <row r="998" ht="15.75" customHeight="1">
      <c r="A998" s="4"/>
      <c r="D998" s="4"/>
    </row>
    <row r="999" ht="15.75" customHeight="1">
      <c r="A999" s="4"/>
      <c r="D999" s="4"/>
    </row>
    <row r="1000" ht="15.75" customHeight="1">
      <c r="A1000" s="4"/>
      <c r="D1000" s="4"/>
    </row>
  </sheetData>
  <mergeCells count="7">
    <mergeCell ref="A1:F1"/>
    <mergeCell ref="A2:F2"/>
    <mergeCell ref="A4:B4"/>
    <mergeCell ref="D4:F4"/>
    <mergeCell ref="D17:F17"/>
    <mergeCell ref="A27:B27"/>
    <mergeCell ref="D29:F2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32.14"/>
    <col customWidth="1" min="6" max="6" width="38.57"/>
    <col customWidth="1" min="7" max="26" width="32.14"/>
  </cols>
  <sheetData>
    <row r="1">
      <c r="A1" s="47" t="s">
        <v>91</v>
      </c>
    </row>
    <row r="2">
      <c r="A2" s="48" t="s">
        <v>92</v>
      </c>
    </row>
    <row r="3">
      <c r="A3" s="4"/>
      <c r="B3" s="4"/>
      <c r="C3" s="4"/>
      <c r="D3" s="4"/>
      <c r="E3" s="4"/>
      <c r="F3" s="4"/>
    </row>
    <row r="4">
      <c r="A4" s="49" t="s">
        <v>93</v>
      </c>
    </row>
    <row r="5">
      <c r="A5" s="50"/>
      <c r="B5" s="50" t="s">
        <v>94</v>
      </c>
      <c r="C5" s="50" t="s">
        <v>95</v>
      </c>
      <c r="D5" s="50" t="s">
        <v>96</v>
      </c>
      <c r="E5" s="50" t="s">
        <v>97</v>
      </c>
      <c r="F5" s="50" t="s">
        <v>98</v>
      </c>
    </row>
    <row r="6">
      <c r="A6" s="51" t="s">
        <v>99</v>
      </c>
      <c r="B6" s="52" t="s">
        <v>100</v>
      </c>
      <c r="C6" s="52" t="s">
        <v>101</v>
      </c>
      <c r="D6" s="52" t="s">
        <v>102</v>
      </c>
      <c r="E6" s="52" t="s">
        <v>103</v>
      </c>
      <c r="F6" s="53" t="s">
        <v>104</v>
      </c>
    </row>
    <row r="7">
      <c r="A7" s="51" t="s">
        <v>105</v>
      </c>
      <c r="B7" s="52" t="s">
        <v>106</v>
      </c>
      <c r="C7" s="52" t="s">
        <v>107</v>
      </c>
      <c r="D7" s="52" t="s">
        <v>108</v>
      </c>
      <c r="E7" s="52" t="s">
        <v>109</v>
      </c>
      <c r="F7" s="52" t="s">
        <v>110</v>
      </c>
    </row>
    <row r="8">
      <c r="A8" s="51" t="s">
        <v>111</v>
      </c>
      <c r="B8" s="52" t="s">
        <v>112</v>
      </c>
      <c r="C8" s="52" t="s">
        <v>113</v>
      </c>
      <c r="D8" s="52" t="s">
        <v>114</v>
      </c>
      <c r="E8" s="52" t="s">
        <v>115</v>
      </c>
      <c r="F8" s="53" t="s">
        <v>116</v>
      </c>
    </row>
    <row r="9">
      <c r="B9" s="54" t="s">
        <v>117</v>
      </c>
      <c r="C9" s="52" t="s">
        <v>118</v>
      </c>
      <c r="D9" s="52" t="s">
        <v>119</v>
      </c>
      <c r="E9" s="52" t="s">
        <v>120</v>
      </c>
      <c r="F9" s="53" t="s">
        <v>121</v>
      </c>
    </row>
    <row r="10">
      <c r="A10" s="4"/>
      <c r="B10" s="4"/>
      <c r="C10" s="4"/>
      <c r="D10" s="4"/>
      <c r="E10" s="4"/>
      <c r="F10" s="4"/>
    </row>
    <row r="11">
      <c r="A11" s="55" t="s">
        <v>122</v>
      </c>
    </row>
    <row r="12">
      <c r="A12" s="56" t="s">
        <v>123</v>
      </c>
      <c r="B12" s="56" t="s">
        <v>124</v>
      </c>
      <c r="C12" s="56" t="s">
        <v>125</v>
      </c>
      <c r="D12" s="56" t="s">
        <v>126</v>
      </c>
      <c r="E12" s="56" t="s">
        <v>127</v>
      </c>
      <c r="F12" s="56" t="s">
        <v>128</v>
      </c>
    </row>
    <row r="13">
      <c r="A13" s="57" t="s">
        <v>129</v>
      </c>
      <c r="B13" s="57" t="s">
        <v>130</v>
      </c>
      <c r="C13" s="57" t="s">
        <v>131</v>
      </c>
      <c r="D13" s="57" t="s">
        <v>132</v>
      </c>
      <c r="E13" s="57" t="s">
        <v>133</v>
      </c>
      <c r="F13" s="57" t="s">
        <v>134</v>
      </c>
    </row>
    <row r="14">
      <c r="A14" s="57" t="s">
        <v>135</v>
      </c>
      <c r="B14" s="57" t="s">
        <v>136</v>
      </c>
      <c r="C14" s="57" t="s">
        <v>137</v>
      </c>
      <c r="D14" s="57" t="s">
        <v>138</v>
      </c>
      <c r="E14" s="57" t="s">
        <v>133</v>
      </c>
      <c r="F14" s="57"/>
    </row>
    <row r="15">
      <c r="A15" s="57" t="s">
        <v>139</v>
      </c>
      <c r="B15" s="57" t="s">
        <v>140</v>
      </c>
      <c r="C15" s="57" t="s">
        <v>141</v>
      </c>
      <c r="D15" s="57" t="s">
        <v>142</v>
      </c>
      <c r="E15" s="57" t="s">
        <v>143</v>
      </c>
      <c r="F15" s="57" t="s">
        <v>144</v>
      </c>
    </row>
    <row r="16">
      <c r="A16" s="57" t="s">
        <v>145</v>
      </c>
      <c r="B16" s="57" t="s">
        <v>146</v>
      </c>
      <c r="C16" s="57" t="s">
        <v>147</v>
      </c>
      <c r="D16" s="57" t="s">
        <v>148</v>
      </c>
      <c r="E16" s="57" t="s">
        <v>149</v>
      </c>
      <c r="F16" s="57"/>
    </row>
    <row r="17">
      <c r="A17" s="57" t="s">
        <v>150</v>
      </c>
      <c r="B17" s="57" t="s">
        <v>151</v>
      </c>
      <c r="C17" s="57" t="s">
        <v>152</v>
      </c>
      <c r="D17" s="57" t="s">
        <v>153</v>
      </c>
      <c r="E17" s="57" t="s">
        <v>154</v>
      </c>
      <c r="F17" s="57" t="s">
        <v>155</v>
      </c>
    </row>
    <row r="18">
      <c r="A18" s="57" t="s">
        <v>156</v>
      </c>
      <c r="B18" s="57" t="s">
        <v>157</v>
      </c>
      <c r="C18" s="57" t="s">
        <v>158</v>
      </c>
      <c r="D18" s="57" t="s">
        <v>159</v>
      </c>
      <c r="E18" s="57" t="s">
        <v>160</v>
      </c>
      <c r="F18" s="57" t="s">
        <v>161</v>
      </c>
    </row>
    <row r="19">
      <c r="A19" s="58" t="s">
        <v>162</v>
      </c>
    </row>
    <row r="20">
      <c r="A20" s="59" t="s">
        <v>163</v>
      </c>
      <c r="B20" s="59" t="s">
        <v>164</v>
      </c>
      <c r="C20" s="59" t="s">
        <v>165</v>
      </c>
      <c r="D20" s="59" t="s">
        <v>166</v>
      </c>
      <c r="E20" s="59" t="s">
        <v>167</v>
      </c>
      <c r="F20" s="59" t="s">
        <v>168</v>
      </c>
    </row>
    <row r="21" ht="30.0" customHeight="1">
      <c r="A21" s="60" t="s">
        <v>169</v>
      </c>
      <c r="B21" s="61" t="s">
        <v>170</v>
      </c>
      <c r="C21" s="61" t="s">
        <v>171</v>
      </c>
      <c r="D21" s="61" t="s">
        <v>172</v>
      </c>
      <c r="E21" s="61" t="s">
        <v>173</v>
      </c>
      <c r="F21" s="61" t="s">
        <v>174</v>
      </c>
    </row>
    <row r="22" ht="30.0" customHeight="1">
      <c r="A22" s="60" t="s">
        <v>175</v>
      </c>
      <c r="B22" s="61" t="s">
        <v>176</v>
      </c>
      <c r="C22" s="61" t="s">
        <v>177</v>
      </c>
      <c r="D22" s="61" t="s">
        <v>178</v>
      </c>
      <c r="E22" s="61" t="s">
        <v>179</v>
      </c>
      <c r="F22" s="61" t="s">
        <v>180</v>
      </c>
    </row>
    <row r="23" ht="30.0" customHeight="1">
      <c r="A23" s="60" t="s">
        <v>181</v>
      </c>
      <c r="B23" s="61" t="s">
        <v>182</v>
      </c>
      <c r="C23" s="61" t="s">
        <v>183</v>
      </c>
      <c r="D23" s="61" t="s">
        <v>184</v>
      </c>
      <c r="E23" s="61" t="s">
        <v>185</v>
      </c>
      <c r="F23" s="61" t="s">
        <v>180</v>
      </c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62" t="s">
        <v>186</v>
      </c>
    </row>
    <row r="26" ht="15.75" customHeight="1">
      <c r="A26" s="63" t="s">
        <v>187</v>
      </c>
    </row>
    <row r="27" ht="15.75" customHeight="1">
      <c r="A27" s="64" t="s">
        <v>188</v>
      </c>
    </row>
    <row r="28" ht="15.75" customHeight="1">
      <c r="A28" s="65" t="s">
        <v>189</v>
      </c>
    </row>
    <row r="29" ht="15.75" customHeight="1">
      <c r="A29" s="64" t="s">
        <v>190</v>
      </c>
    </row>
    <row r="30" ht="15.75" customHeight="1">
      <c r="A30" s="65"/>
    </row>
    <row r="31" ht="15.75" customHeight="1">
      <c r="A31" s="66" t="s">
        <v>191</v>
      </c>
    </row>
    <row r="32" ht="15.75" customHeight="1">
      <c r="A32" s="64" t="s">
        <v>192</v>
      </c>
    </row>
    <row r="33" ht="15.75" customHeight="1">
      <c r="A33" s="64" t="s">
        <v>193</v>
      </c>
    </row>
    <row r="34" ht="15.75" customHeight="1">
      <c r="A34" s="64" t="s">
        <v>194</v>
      </c>
    </row>
    <row r="35" ht="15.75" customHeight="1">
      <c r="A35" s="64" t="s">
        <v>195</v>
      </c>
    </row>
    <row r="36" ht="15.75" customHeight="1">
      <c r="A36" s="65"/>
    </row>
    <row r="37" ht="15.75" customHeight="1">
      <c r="A37" s="66" t="s">
        <v>196</v>
      </c>
    </row>
    <row r="38" ht="15.75" customHeight="1">
      <c r="A38" s="64" t="s">
        <v>197</v>
      </c>
    </row>
    <row r="39" ht="15.75" customHeight="1">
      <c r="A39" s="65" t="s">
        <v>198</v>
      </c>
    </row>
    <row r="40" ht="15.75" customHeight="1">
      <c r="A40" s="65" t="s">
        <v>199</v>
      </c>
    </row>
    <row r="41" ht="15.75" customHeight="1">
      <c r="A41" s="4"/>
      <c r="B41" s="4"/>
      <c r="C41" s="4"/>
      <c r="D41" s="4"/>
      <c r="E41" s="4"/>
      <c r="F41" s="4"/>
    </row>
    <row r="42" ht="15.75" customHeight="1">
      <c r="A42" s="4"/>
      <c r="B42" s="4"/>
      <c r="C42" s="4"/>
      <c r="D42" s="4"/>
      <c r="E42" s="4"/>
      <c r="F42" s="4"/>
    </row>
    <row r="43" ht="15.75" customHeight="1">
      <c r="A43" s="4"/>
      <c r="B43" s="4"/>
      <c r="C43" s="4"/>
      <c r="D43" s="4"/>
      <c r="E43" s="4"/>
      <c r="F43" s="4"/>
    </row>
    <row r="44" ht="15.75" customHeight="1">
      <c r="A44" s="4"/>
      <c r="B44" s="4"/>
      <c r="C44" s="4"/>
      <c r="D44" s="4"/>
      <c r="E44" s="4"/>
      <c r="F44" s="4"/>
    </row>
    <row r="45" ht="15.75" customHeight="1">
      <c r="A45" s="4"/>
      <c r="B45" s="4"/>
      <c r="C45" s="4"/>
      <c r="D45" s="4"/>
      <c r="E45" s="4"/>
      <c r="F45" s="4"/>
    </row>
    <row r="46" ht="15.75" customHeight="1">
      <c r="A46" s="4"/>
      <c r="B46" s="4"/>
      <c r="C46" s="4"/>
      <c r="D46" s="4"/>
      <c r="E46" s="4"/>
      <c r="F46" s="4"/>
    </row>
    <row r="47" ht="15.75" customHeight="1">
      <c r="A47" s="4"/>
      <c r="B47" s="4"/>
      <c r="C47" s="4"/>
      <c r="D47" s="4"/>
      <c r="E47" s="4"/>
      <c r="F47" s="4"/>
    </row>
    <row r="48" ht="15.75" customHeight="1">
      <c r="A48" s="4"/>
      <c r="B48" s="4"/>
      <c r="C48" s="4"/>
      <c r="D48" s="4"/>
      <c r="E48" s="4"/>
      <c r="F48" s="4"/>
    </row>
    <row r="49" ht="15.75" customHeight="1">
      <c r="A49" s="4"/>
      <c r="B49" s="4"/>
      <c r="C49" s="4"/>
      <c r="D49" s="4"/>
      <c r="E49" s="4"/>
      <c r="F49" s="4"/>
    </row>
    <row r="50" ht="15.75" customHeight="1">
      <c r="A50" s="4"/>
      <c r="B50" s="4"/>
      <c r="C50" s="4"/>
      <c r="D50" s="4"/>
      <c r="E50" s="4"/>
      <c r="F50" s="4"/>
    </row>
    <row r="51" ht="15.75" customHeight="1">
      <c r="A51" s="4"/>
      <c r="B51" s="4"/>
      <c r="C51" s="4"/>
      <c r="D51" s="4"/>
      <c r="E51" s="4"/>
      <c r="F51" s="4"/>
    </row>
    <row r="52" ht="15.75" customHeight="1">
      <c r="A52" s="4"/>
      <c r="B52" s="4"/>
      <c r="C52" s="4"/>
      <c r="D52" s="4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4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4"/>
      <c r="B57" s="4"/>
      <c r="C57" s="4"/>
      <c r="D57" s="4"/>
      <c r="E57" s="4"/>
      <c r="F57" s="4"/>
    </row>
    <row r="58" ht="15.75" customHeight="1">
      <c r="A58" s="4"/>
      <c r="B58" s="4"/>
      <c r="C58" s="4"/>
      <c r="D58" s="4"/>
      <c r="E58" s="4"/>
      <c r="F58" s="4"/>
    </row>
    <row r="59" ht="15.75" customHeight="1">
      <c r="A59" s="4"/>
      <c r="B59" s="4"/>
      <c r="C59" s="4"/>
      <c r="D59" s="4"/>
      <c r="E59" s="4"/>
      <c r="F59" s="4"/>
    </row>
    <row r="60" ht="15.75" customHeight="1">
      <c r="A60" s="4"/>
      <c r="B60" s="4"/>
      <c r="C60" s="4"/>
      <c r="D60" s="4"/>
      <c r="E60" s="4"/>
      <c r="F60" s="4"/>
    </row>
    <row r="61" ht="15.75" customHeight="1">
      <c r="A61" s="4"/>
      <c r="B61" s="4"/>
      <c r="C61" s="4"/>
      <c r="D61" s="4"/>
      <c r="E61" s="4"/>
      <c r="F61" s="4"/>
    </row>
    <row r="62" ht="15.75" customHeight="1">
      <c r="A62" s="4"/>
      <c r="B62" s="4"/>
      <c r="C62" s="4"/>
      <c r="D62" s="4"/>
      <c r="E62" s="4"/>
      <c r="F62" s="4"/>
    </row>
    <row r="63" ht="15.75" customHeight="1">
      <c r="A63" s="4"/>
      <c r="B63" s="4"/>
      <c r="C63" s="4"/>
      <c r="D63" s="4"/>
      <c r="E63" s="4"/>
      <c r="F63" s="4"/>
    </row>
    <row r="64" ht="15.75" customHeight="1">
      <c r="A64" s="4"/>
      <c r="B64" s="4"/>
      <c r="C64" s="4"/>
      <c r="D64" s="4"/>
      <c r="E64" s="4"/>
      <c r="F64" s="4"/>
    </row>
    <row r="65" ht="15.75" customHeight="1">
      <c r="A65" s="4"/>
      <c r="B65" s="4"/>
      <c r="C65" s="4"/>
      <c r="D65" s="4"/>
      <c r="E65" s="4"/>
      <c r="F65" s="4"/>
    </row>
    <row r="66" ht="15.75" customHeight="1">
      <c r="A66" s="4"/>
      <c r="B66" s="4"/>
      <c r="C66" s="4"/>
      <c r="D66" s="4"/>
      <c r="E66" s="4"/>
      <c r="F66" s="4"/>
    </row>
    <row r="67" ht="15.75" customHeight="1">
      <c r="A67" s="4"/>
      <c r="B67" s="4"/>
      <c r="C67" s="4"/>
      <c r="D67" s="4"/>
      <c r="E67" s="4"/>
      <c r="F67" s="4"/>
    </row>
    <row r="68" ht="15.75" customHeight="1">
      <c r="A68" s="4"/>
      <c r="B68" s="4"/>
      <c r="C68" s="4"/>
      <c r="D68" s="4"/>
      <c r="E68" s="4"/>
      <c r="F68" s="4"/>
    </row>
    <row r="69" ht="15.75" customHeight="1">
      <c r="A69" s="4"/>
      <c r="B69" s="4"/>
      <c r="C69" s="4"/>
      <c r="D69" s="4"/>
      <c r="E69" s="4"/>
      <c r="F69" s="4"/>
    </row>
    <row r="70" ht="15.75" customHeight="1">
      <c r="A70" s="4"/>
      <c r="B70" s="4"/>
      <c r="C70" s="4"/>
      <c r="D70" s="4"/>
      <c r="E70" s="4"/>
      <c r="F70" s="4"/>
    </row>
    <row r="71" ht="15.75" customHeight="1">
      <c r="A71" s="4"/>
      <c r="B71" s="4"/>
      <c r="C71" s="4"/>
      <c r="D71" s="4"/>
      <c r="E71" s="4"/>
      <c r="F71" s="4"/>
    </row>
    <row r="72" ht="15.75" customHeight="1">
      <c r="A72" s="4"/>
      <c r="B72" s="4"/>
      <c r="C72" s="4"/>
      <c r="D72" s="4"/>
      <c r="E72" s="4"/>
      <c r="F72" s="4"/>
    </row>
    <row r="73" ht="15.75" customHeight="1">
      <c r="A73" s="4"/>
      <c r="B73" s="4"/>
      <c r="C73" s="4"/>
      <c r="D73" s="4"/>
      <c r="E73" s="4"/>
      <c r="F73" s="4"/>
    </row>
    <row r="74" ht="15.75" customHeight="1">
      <c r="A74" s="4"/>
      <c r="B74" s="4"/>
      <c r="C74" s="4"/>
      <c r="D74" s="4"/>
      <c r="E74" s="4"/>
      <c r="F74" s="4"/>
    </row>
    <row r="75" ht="15.75" customHeight="1">
      <c r="A75" s="4"/>
      <c r="B75" s="4"/>
      <c r="C75" s="4"/>
      <c r="D75" s="4"/>
      <c r="E75" s="4"/>
      <c r="F75" s="4"/>
    </row>
    <row r="76" ht="15.75" customHeight="1">
      <c r="A76" s="4"/>
      <c r="B76" s="4"/>
      <c r="C76" s="4"/>
      <c r="D76" s="4"/>
      <c r="E76" s="4"/>
      <c r="F76" s="4"/>
    </row>
    <row r="77" ht="15.75" customHeight="1">
      <c r="A77" s="4"/>
      <c r="B77" s="4"/>
      <c r="C77" s="4"/>
      <c r="D77" s="4"/>
      <c r="E77" s="4"/>
      <c r="F77" s="4"/>
    </row>
    <row r="78" ht="15.75" customHeight="1">
      <c r="A78" s="4"/>
      <c r="B78" s="4"/>
      <c r="C78" s="4"/>
      <c r="D78" s="4"/>
      <c r="E78" s="4"/>
      <c r="F78" s="4"/>
    </row>
    <row r="79" ht="15.75" customHeight="1">
      <c r="A79" s="4"/>
      <c r="B79" s="4"/>
      <c r="C79" s="4"/>
      <c r="D79" s="4"/>
      <c r="E79" s="4"/>
      <c r="F79" s="4"/>
    </row>
    <row r="80" ht="15.75" customHeight="1">
      <c r="A80" s="4"/>
      <c r="B80" s="4"/>
      <c r="C80" s="4"/>
      <c r="D80" s="4"/>
      <c r="E80" s="4"/>
      <c r="F80" s="4"/>
    </row>
    <row r="81" ht="15.75" customHeight="1">
      <c r="A81" s="4"/>
      <c r="B81" s="4"/>
      <c r="C81" s="4"/>
      <c r="D81" s="4"/>
      <c r="E81" s="4"/>
      <c r="F81" s="4"/>
    </row>
    <row r="82" ht="15.75" customHeight="1">
      <c r="A82" s="4"/>
      <c r="B82" s="4"/>
      <c r="C82" s="4"/>
      <c r="D82" s="4"/>
      <c r="E82" s="4"/>
      <c r="F82" s="4"/>
    </row>
    <row r="83" ht="15.75" customHeight="1">
      <c r="A83" s="4"/>
      <c r="B83" s="4"/>
      <c r="C83" s="4"/>
      <c r="D83" s="4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</sheetData>
  <mergeCells count="21">
    <mergeCell ref="A1:F1"/>
    <mergeCell ref="A2:F2"/>
    <mergeCell ref="A4:F4"/>
    <mergeCell ref="A11:F11"/>
    <mergeCell ref="A19:F19"/>
    <mergeCell ref="A25:F25"/>
    <mergeCell ref="A26:F26"/>
    <mergeCell ref="A33:F33"/>
    <mergeCell ref="A34:F34"/>
    <mergeCell ref="A35:F35"/>
    <mergeCell ref="A36:F36"/>
    <mergeCell ref="A37:F37"/>
    <mergeCell ref="A38:F38"/>
    <mergeCell ref="A39:F39"/>
    <mergeCell ref="A40:F40"/>
    <mergeCell ref="A27:F27"/>
    <mergeCell ref="A28:F28"/>
    <mergeCell ref="A29:F29"/>
    <mergeCell ref="A30:F30"/>
    <mergeCell ref="A31:F31"/>
    <mergeCell ref="A32:F3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35.57"/>
    <col customWidth="1" min="3" max="5" width="15.0"/>
    <col customWidth="1" min="6" max="6" width="16.0"/>
    <col customWidth="1" min="7" max="7" width="30.0"/>
    <col customWidth="1" min="8" max="26" width="8.71"/>
  </cols>
  <sheetData>
    <row r="1">
      <c r="A1" s="67" t="s">
        <v>200</v>
      </c>
      <c r="B1" s="4"/>
      <c r="C1" s="4"/>
      <c r="D1" s="4"/>
      <c r="E1" s="4"/>
      <c r="F1" s="4"/>
      <c r="G1" s="4"/>
    </row>
    <row r="2">
      <c r="A2" s="48" t="s">
        <v>201</v>
      </c>
      <c r="B2" s="4"/>
      <c r="C2" s="4"/>
      <c r="D2" s="4"/>
      <c r="E2" s="4"/>
      <c r="F2" s="4"/>
      <c r="G2" s="4"/>
    </row>
    <row r="3">
      <c r="A3" s="4"/>
      <c r="B3" s="4"/>
      <c r="C3" s="4"/>
      <c r="D3" s="4"/>
      <c r="E3" s="4"/>
      <c r="F3" s="4"/>
      <c r="G3" s="4"/>
    </row>
    <row r="4">
      <c r="A4" s="68" t="s">
        <v>202</v>
      </c>
      <c r="E4" s="4"/>
      <c r="F4" s="4"/>
      <c r="G4" s="4"/>
    </row>
    <row r="5">
      <c r="A5" s="69" t="s">
        <v>3</v>
      </c>
      <c r="B5" s="69" t="s">
        <v>203</v>
      </c>
      <c r="C5" s="69" t="s">
        <v>204</v>
      </c>
      <c r="D5" s="69" t="s">
        <v>95</v>
      </c>
      <c r="E5" s="69" t="s">
        <v>96</v>
      </c>
      <c r="F5" s="69" t="s">
        <v>97</v>
      </c>
      <c r="G5" s="4"/>
    </row>
    <row r="6">
      <c r="A6" s="52" t="s">
        <v>205</v>
      </c>
      <c r="B6" s="52" t="s">
        <v>206</v>
      </c>
      <c r="C6" s="52">
        <v>825.0</v>
      </c>
      <c r="D6" s="52">
        <f>C6*16</f>
        <v>13200</v>
      </c>
      <c r="E6" s="52">
        <v>300.0</v>
      </c>
      <c r="F6" s="52">
        <v>30.0</v>
      </c>
      <c r="G6" s="4"/>
    </row>
    <row r="7">
      <c r="A7" s="52" t="s">
        <v>207</v>
      </c>
      <c r="B7" s="52" t="s">
        <v>208</v>
      </c>
      <c r="C7" s="52">
        <v>5000.0</v>
      </c>
      <c r="D7" s="52">
        <v>5000.0</v>
      </c>
      <c r="E7" s="52" t="s">
        <v>209</v>
      </c>
      <c r="F7" s="52" t="s">
        <v>209</v>
      </c>
      <c r="G7" s="4"/>
    </row>
    <row r="8">
      <c r="A8" s="54" t="s">
        <v>210</v>
      </c>
      <c r="B8" s="54"/>
      <c r="C8" s="54"/>
      <c r="D8" s="54">
        <f>D6+D7</f>
        <v>18200</v>
      </c>
      <c r="E8" s="54">
        <f t="shared" ref="E8:F8" si="1">E6</f>
        <v>300</v>
      </c>
      <c r="F8" s="54">
        <f t="shared" si="1"/>
        <v>30</v>
      </c>
      <c r="G8" s="4"/>
    </row>
    <row r="9">
      <c r="A9" s="4"/>
      <c r="B9" s="4"/>
      <c r="C9" s="4"/>
      <c r="D9" s="4"/>
      <c r="E9" s="4"/>
      <c r="F9" s="4"/>
      <c r="G9" s="4"/>
    </row>
    <row r="10">
      <c r="A10" s="68" t="s">
        <v>211</v>
      </c>
      <c r="E10" s="4"/>
      <c r="F10" s="4"/>
      <c r="G10" s="4"/>
    </row>
    <row r="11">
      <c r="A11" s="70" t="s">
        <v>94</v>
      </c>
      <c r="B11" s="70" t="s">
        <v>212</v>
      </c>
      <c r="C11" s="70" t="s">
        <v>213</v>
      </c>
      <c r="D11" s="70" t="s">
        <v>95</v>
      </c>
      <c r="E11" s="70" t="s">
        <v>214</v>
      </c>
      <c r="F11" s="70" t="s">
        <v>215</v>
      </c>
      <c r="G11" s="70" t="s">
        <v>216</v>
      </c>
    </row>
    <row r="12">
      <c r="A12" s="52" t="s">
        <v>217</v>
      </c>
      <c r="B12" s="52" t="s">
        <v>218</v>
      </c>
      <c r="C12" s="52">
        <v>0.0</v>
      </c>
      <c r="D12" s="52">
        <v>0.0</v>
      </c>
      <c r="E12" s="52">
        <v>27.0</v>
      </c>
      <c r="F12" s="52">
        <v>3.0</v>
      </c>
      <c r="G12" s="52" t="s">
        <v>219</v>
      </c>
    </row>
    <row r="13">
      <c r="A13" s="71" t="s">
        <v>220</v>
      </c>
      <c r="B13" s="53" t="s">
        <v>221</v>
      </c>
      <c r="C13" s="52">
        <v>0.0</v>
      </c>
      <c r="D13" s="52">
        <v>0.0</v>
      </c>
      <c r="G13" s="52" t="s">
        <v>222</v>
      </c>
    </row>
    <row r="14">
      <c r="A14" s="71" t="s">
        <v>223</v>
      </c>
      <c r="B14" s="53" t="s">
        <v>224</v>
      </c>
      <c r="C14" s="52">
        <v>0.0</v>
      </c>
      <c r="D14" s="52">
        <v>0.0</v>
      </c>
      <c r="G14" s="52" t="s">
        <v>225</v>
      </c>
    </row>
    <row r="16">
      <c r="A16" s="52" t="s">
        <v>226</v>
      </c>
      <c r="B16" s="52" t="s">
        <v>227</v>
      </c>
      <c r="C16" s="52">
        <v>950.0</v>
      </c>
      <c r="D16" s="52">
        <f t="shared" ref="D16:D18" si="2">C16*12</f>
        <v>11400</v>
      </c>
      <c r="E16" s="52">
        <v>40.0</v>
      </c>
      <c r="F16" s="53">
        <v>5.0</v>
      </c>
      <c r="G16" s="52" t="s">
        <v>228</v>
      </c>
    </row>
    <row r="17">
      <c r="A17" s="71" t="s">
        <v>229</v>
      </c>
      <c r="B17" s="52" t="s">
        <v>230</v>
      </c>
      <c r="C17" s="52">
        <v>500.0</v>
      </c>
      <c r="D17" s="52">
        <f t="shared" si="2"/>
        <v>6000</v>
      </c>
      <c r="G17" s="52" t="s">
        <v>231</v>
      </c>
    </row>
    <row r="18">
      <c r="A18" s="71" t="s">
        <v>232</v>
      </c>
      <c r="B18" s="52" t="s">
        <v>233</v>
      </c>
      <c r="C18" s="52">
        <v>450.0</v>
      </c>
      <c r="D18" s="52">
        <f t="shared" si="2"/>
        <v>5400</v>
      </c>
      <c r="G18" s="52" t="s">
        <v>234</v>
      </c>
    </row>
    <row r="19">
      <c r="A19" s="71" t="s">
        <v>235</v>
      </c>
      <c r="B19" s="52" t="s">
        <v>236</v>
      </c>
      <c r="G19" s="52" t="s">
        <v>237</v>
      </c>
    </row>
    <row r="21" ht="15.75" customHeight="1">
      <c r="A21" s="52" t="s">
        <v>238</v>
      </c>
      <c r="B21" s="52" t="s">
        <v>239</v>
      </c>
      <c r="D21" s="52">
        <v>2500.0</v>
      </c>
      <c r="E21" s="52">
        <v>15.0</v>
      </c>
      <c r="F21" s="53">
        <v>2.0</v>
      </c>
      <c r="G21" s="52" t="s">
        <v>240</v>
      </c>
    </row>
    <row r="22" ht="15.75" customHeight="1">
      <c r="A22" s="71" t="s">
        <v>241</v>
      </c>
      <c r="B22" s="52" t="s">
        <v>242</v>
      </c>
      <c r="D22" s="52">
        <v>2500.0</v>
      </c>
      <c r="G22" s="52" t="s">
        <v>243</v>
      </c>
    </row>
    <row r="23" ht="15.75" customHeight="1">
      <c r="A23" s="71" t="s">
        <v>244</v>
      </c>
      <c r="B23" s="52" t="s">
        <v>245</v>
      </c>
      <c r="D23" s="52">
        <v>0.0</v>
      </c>
      <c r="G23" s="52" t="s">
        <v>246</v>
      </c>
    </row>
    <row r="24" ht="15.75" customHeight="1"/>
    <row r="25" ht="15.75" customHeight="1">
      <c r="A25" s="54" t="s">
        <v>247</v>
      </c>
      <c r="D25" s="52">
        <f>D16+D21</f>
        <v>13900</v>
      </c>
      <c r="E25" s="52">
        <f t="shared" ref="E25:F25" si="3">E12+E16+E21</f>
        <v>82</v>
      </c>
      <c r="F25" s="52">
        <f t="shared" si="3"/>
        <v>10</v>
      </c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/>
      <c r="C27" s="4"/>
      <c r="D27" s="4"/>
      <c r="E27" s="4"/>
      <c r="F27" s="4"/>
      <c r="G27" s="4"/>
    </row>
    <row r="28" ht="15.75" customHeight="1">
      <c r="A28" s="68" t="s">
        <v>248</v>
      </c>
      <c r="E28" s="4"/>
      <c r="F28" s="4"/>
      <c r="G28" s="4"/>
    </row>
    <row r="29" ht="15.75" customHeight="1">
      <c r="A29" s="72" t="s">
        <v>3</v>
      </c>
      <c r="B29" s="72" t="s">
        <v>124</v>
      </c>
      <c r="C29" s="72" t="s">
        <v>125</v>
      </c>
      <c r="D29" s="72" t="s">
        <v>126</v>
      </c>
      <c r="E29" s="72" t="s">
        <v>127</v>
      </c>
      <c r="F29" s="4"/>
      <c r="G29" s="4"/>
    </row>
    <row r="30" ht="15.75" customHeight="1">
      <c r="A30" s="54" t="s">
        <v>249</v>
      </c>
      <c r="B30" s="73">
        <v>5000.0</v>
      </c>
      <c r="C30" s="73">
        <v>8475.0</v>
      </c>
      <c r="D30" s="73">
        <f t="shared" ref="D30:D36" si="5">C30-B30</f>
        <v>3475</v>
      </c>
      <c r="E30" s="73">
        <f t="shared" ref="E30:E36" si="6">D30/B30</f>
        <v>0.695</v>
      </c>
      <c r="F30" s="4"/>
      <c r="G30" s="4"/>
    </row>
    <row r="31" ht="15.75" customHeight="1">
      <c r="A31" s="54" t="s">
        <v>250</v>
      </c>
      <c r="B31" s="73">
        <f t="shared" ref="B31:C31" si="4">B30*4</f>
        <v>20000</v>
      </c>
      <c r="C31" s="73">
        <f t="shared" si="4"/>
        <v>33900</v>
      </c>
      <c r="D31" s="73">
        <f t="shared" si="5"/>
        <v>13900</v>
      </c>
      <c r="E31" s="73">
        <f t="shared" si="6"/>
        <v>0.695</v>
      </c>
      <c r="F31" s="4"/>
      <c r="G31" s="4"/>
    </row>
    <row r="32" ht="15.75" customHeight="1">
      <c r="A32" s="54" t="s">
        <v>251</v>
      </c>
      <c r="B32" s="73">
        <f>E8</f>
        <v>300</v>
      </c>
      <c r="C32" s="73">
        <f>E8+E25</f>
        <v>382</v>
      </c>
      <c r="D32" s="73">
        <f t="shared" si="5"/>
        <v>82</v>
      </c>
      <c r="E32" s="73">
        <f t="shared" si="6"/>
        <v>0.2733333333</v>
      </c>
      <c r="F32" s="4"/>
      <c r="G32" s="4"/>
    </row>
    <row r="33" ht="15.75" customHeight="1">
      <c r="A33" s="54" t="s">
        <v>252</v>
      </c>
      <c r="B33" s="73">
        <f>F8</f>
        <v>30</v>
      </c>
      <c r="C33" s="73">
        <f>F8+F25</f>
        <v>40</v>
      </c>
      <c r="D33" s="73">
        <f t="shared" si="5"/>
        <v>10</v>
      </c>
      <c r="E33" s="73">
        <f t="shared" si="6"/>
        <v>0.3333333333</v>
      </c>
      <c r="F33" s="4"/>
      <c r="G33" s="4"/>
    </row>
    <row r="34" ht="15.75" customHeight="1">
      <c r="A34" s="54" t="s">
        <v>253</v>
      </c>
      <c r="B34" s="73">
        <f t="shared" ref="B34:C34" si="7">B30/B32</f>
        <v>16.66666667</v>
      </c>
      <c r="C34" s="73">
        <f t="shared" si="7"/>
        <v>22.18586387</v>
      </c>
      <c r="D34" s="73">
        <f t="shared" si="5"/>
        <v>5.519197208</v>
      </c>
      <c r="E34" s="73">
        <f t="shared" si="6"/>
        <v>0.3311518325</v>
      </c>
      <c r="F34" s="4"/>
      <c r="G34" s="4"/>
    </row>
    <row r="35" ht="15.75" customHeight="1">
      <c r="A35" s="54" t="s">
        <v>254</v>
      </c>
      <c r="B35" s="73">
        <f t="shared" ref="B35:C35" si="8">B30/B33</f>
        <v>166.6666667</v>
      </c>
      <c r="C35" s="73">
        <f t="shared" si="8"/>
        <v>211.875</v>
      </c>
      <c r="D35" s="73">
        <f t="shared" si="5"/>
        <v>45.20833333</v>
      </c>
      <c r="E35" s="73">
        <f t="shared" si="6"/>
        <v>0.27125</v>
      </c>
      <c r="F35" s="4"/>
      <c r="G35" s="4"/>
    </row>
    <row r="36" ht="15.75" customHeight="1">
      <c r="A36" s="54" t="s">
        <v>156</v>
      </c>
      <c r="B36" s="73">
        <f>'Unidad económica'!E15*B33/B30</f>
        <v>300.96</v>
      </c>
      <c r="C36" s="73">
        <f>'Unidad económica'!E15*C33/C30</f>
        <v>236.7433628</v>
      </c>
      <c r="D36" s="73">
        <f t="shared" si="5"/>
        <v>-64.21663717</v>
      </c>
      <c r="E36" s="73">
        <f t="shared" si="6"/>
        <v>-0.2133726647</v>
      </c>
      <c r="F36" s="4"/>
      <c r="G36" s="4"/>
    </row>
    <row r="37" ht="15.75" customHeight="1">
      <c r="A37" s="4"/>
      <c r="B37" s="4"/>
      <c r="C37" s="4"/>
      <c r="D37" s="4"/>
      <c r="E37" s="4"/>
      <c r="F37" s="4"/>
      <c r="G37" s="4"/>
    </row>
    <row r="38" ht="15.75" customHeight="1">
      <c r="A38" s="68" t="s">
        <v>255</v>
      </c>
      <c r="F38" s="4"/>
      <c r="G38" s="4"/>
    </row>
    <row r="39" ht="15.75" customHeight="1">
      <c r="A39" s="74" t="s">
        <v>163</v>
      </c>
      <c r="B39" s="74" t="s">
        <v>256</v>
      </c>
      <c r="C39" s="74" t="s">
        <v>257</v>
      </c>
      <c r="D39" s="74" t="s">
        <v>165</v>
      </c>
      <c r="E39" s="74" t="s">
        <v>258</v>
      </c>
      <c r="F39" s="4"/>
      <c r="G39" s="4"/>
    </row>
    <row r="40" ht="15.75" customHeight="1">
      <c r="A40" s="61" t="s">
        <v>259</v>
      </c>
      <c r="B40" s="61" t="s">
        <v>170</v>
      </c>
      <c r="C40" s="61" t="s">
        <v>260</v>
      </c>
      <c r="D40" s="61" t="s">
        <v>171</v>
      </c>
      <c r="E40" s="61" t="s">
        <v>261</v>
      </c>
      <c r="F40" s="4"/>
      <c r="G40" s="4"/>
    </row>
    <row r="41" ht="15.75" customHeight="1">
      <c r="A41" s="61" t="s">
        <v>262</v>
      </c>
      <c r="B41" s="61" t="s">
        <v>176</v>
      </c>
      <c r="C41" s="61" t="s">
        <v>263</v>
      </c>
      <c r="D41" s="61" t="s">
        <v>177</v>
      </c>
      <c r="E41" s="61" t="s">
        <v>264</v>
      </c>
      <c r="F41" s="4"/>
      <c r="G41" s="4"/>
    </row>
    <row r="42" ht="15.75" customHeight="1">
      <c r="A42" s="61" t="s">
        <v>265</v>
      </c>
      <c r="B42" s="61" t="s">
        <v>182</v>
      </c>
      <c r="C42" s="61" t="s">
        <v>266</v>
      </c>
      <c r="D42" s="61" t="s">
        <v>183</v>
      </c>
      <c r="E42" s="61" t="s">
        <v>267</v>
      </c>
      <c r="F42" s="4"/>
      <c r="G42" s="4"/>
    </row>
    <row r="43" ht="15.75" customHeight="1">
      <c r="A43" s="4"/>
      <c r="B43" s="4"/>
      <c r="C43" s="4"/>
      <c r="D43" s="4"/>
      <c r="E43" s="4"/>
      <c r="F43" s="4"/>
      <c r="G43" s="4"/>
    </row>
    <row r="44" ht="15.75" customHeight="1">
      <c r="A44" s="68" t="s">
        <v>268</v>
      </c>
      <c r="E44" s="4"/>
      <c r="F44" s="4"/>
      <c r="G44" s="4"/>
    </row>
    <row r="45" ht="15.75" customHeight="1">
      <c r="A45" s="75" t="s">
        <v>15</v>
      </c>
      <c r="B45" s="75" t="s">
        <v>269</v>
      </c>
      <c r="C45" s="75" t="s">
        <v>270</v>
      </c>
      <c r="D45" s="75" t="s">
        <v>271</v>
      </c>
      <c r="E45" s="75" t="s">
        <v>272</v>
      </c>
      <c r="F45" s="4"/>
      <c r="G45" s="4"/>
    </row>
    <row r="46" ht="15.75" customHeight="1">
      <c r="A46" s="52" t="s">
        <v>273</v>
      </c>
      <c r="B46" s="52" t="s">
        <v>274</v>
      </c>
      <c r="C46" s="52" t="s">
        <v>275</v>
      </c>
      <c r="D46" s="52" t="s">
        <v>276</v>
      </c>
      <c r="E46" s="52" t="s">
        <v>276</v>
      </c>
      <c r="F46" s="4"/>
      <c r="G46" s="4"/>
    </row>
    <row r="47" ht="15.75" customHeight="1">
      <c r="B47" s="52" t="s">
        <v>277</v>
      </c>
      <c r="C47" s="52" t="s">
        <v>278</v>
      </c>
      <c r="D47" s="52" t="s">
        <v>114</v>
      </c>
      <c r="E47" s="52" t="s">
        <v>102</v>
      </c>
      <c r="F47" s="4"/>
      <c r="G47" s="4"/>
    </row>
    <row r="48" ht="15.75" customHeight="1">
      <c r="A48" s="52" t="s">
        <v>279</v>
      </c>
      <c r="B48" s="52" t="s">
        <v>280</v>
      </c>
      <c r="C48" s="52" t="s">
        <v>281</v>
      </c>
      <c r="D48" s="52" t="s">
        <v>282</v>
      </c>
      <c r="E48" s="52" t="s">
        <v>283</v>
      </c>
      <c r="F48" s="4"/>
      <c r="G48" s="4"/>
    </row>
    <row r="49" ht="15.75" customHeight="1">
      <c r="B49" s="52" t="s">
        <v>284</v>
      </c>
      <c r="C49" s="52" t="s">
        <v>285</v>
      </c>
      <c r="D49" s="52" t="s">
        <v>276</v>
      </c>
      <c r="E49" s="52" t="s">
        <v>286</v>
      </c>
      <c r="F49" s="4"/>
      <c r="G49" s="4"/>
    </row>
    <row r="50" ht="15.75" customHeight="1">
      <c r="B50" s="52" t="s">
        <v>287</v>
      </c>
      <c r="C50" s="52" t="s">
        <v>288</v>
      </c>
      <c r="D50" s="52" t="s">
        <v>289</v>
      </c>
      <c r="E50" s="52" t="s">
        <v>290</v>
      </c>
      <c r="F50" s="4"/>
      <c r="G50" s="4"/>
    </row>
    <row r="51" ht="15.75" customHeight="1">
      <c r="A51" s="52" t="s">
        <v>291</v>
      </c>
      <c r="B51" s="52" t="s">
        <v>292</v>
      </c>
      <c r="C51" s="52" t="s">
        <v>209</v>
      </c>
      <c r="D51" s="52" t="s">
        <v>209</v>
      </c>
      <c r="E51" s="52" t="s">
        <v>293</v>
      </c>
      <c r="F51" s="4"/>
      <c r="G51" s="4"/>
    </row>
    <row r="52" ht="15.75" customHeight="1">
      <c r="B52" s="52" t="s">
        <v>294</v>
      </c>
      <c r="C52" s="52" t="s">
        <v>209</v>
      </c>
      <c r="D52" s="52" t="s">
        <v>146</v>
      </c>
      <c r="E52" s="52" t="s">
        <v>295</v>
      </c>
      <c r="F52" s="4"/>
      <c r="G52" s="4"/>
    </row>
    <row r="53" ht="15.75" customHeight="1">
      <c r="A53" s="52" t="s">
        <v>296</v>
      </c>
      <c r="B53" s="52" t="s">
        <v>297</v>
      </c>
      <c r="C53" s="52" t="s">
        <v>209</v>
      </c>
      <c r="D53" s="52" t="s">
        <v>298</v>
      </c>
      <c r="E53" s="52" t="s">
        <v>299</v>
      </c>
      <c r="F53" s="4"/>
      <c r="G53" s="4"/>
    </row>
    <row r="54" ht="15.75" customHeight="1">
      <c r="B54" s="52" t="s">
        <v>300</v>
      </c>
      <c r="C54" s="52" t="s">
        <v>209</v>
      </c>
      <c r="D54" s="52" t="s">
        <v>209</v>
      </c>
      <c r="E54" s="52" t="s">
        <v>301</v>
      </c>
      <c r="F54" s="4"/>
      <c r="G54" s="4"/>
    </row>
    <row r="55" ht="15.75" customHeight="1">
      <c r="A55" s="66" t="s">
        <v>302</v>
      </c>
      <c r="B55" s="4"/>
      <c r="C55" s="4"/>
      <c r="D55" s="4"/>
      <c r="E55" s="4"/>
      <c r="F55" s="4"/>
      <c r="G55" s="4"/>
    </row>
    <row r="56" ht="15.75" customHeight="1">
      <c r="A56" s="17" t="s">
        <v>303</v>
      </c>
      <c r="F56" s="4"/>
      <c r="G56" s="4"/>
    </row>
    <row r="57" ht="15.75" customHeight="1">
      <c r="A57" s="17" t="s">
        <v>304</v>
      </c>
      <c r="F57" s="4"/>
      <c r="G57" s="4"/>
    </row>
    <row r="58" ht="15.75" customHeight="1">
      <c r="A58" s="4"/>
      <c r="B58" s="4"/>
      <c r="C58" s="4"/>
      <c r="D58" s="4"/>
      <c r="E58" s="4"/>
      <c r="F58" s="4"/>
      <c r="G58" s="4"/>
    </row>
    <row r="59" ht="15.75" customHeight="1">
      <c r="A59" s="54" t="s">
        <v>305</v>
      </c>
      <c r="B59" s="4"/>
      <c r="C59" s="4"/>
      <c r="D59" s="4"/>
      <c r="E59" s="4"/>
      <c r="F59" s="4"/>
      <c r="G59" s="4"/>
    </row>
    <row r="60" ht="15.75" customHeight="1">
      <c r="A60" s="52" t="s">
        <v>306</v>
      </c>
      <c r="B60" s="52">
        <v>5000.0</v>
      </c>
      <c r="D60" s="4"/>
      <c r="E60" s="4"/>
      <c r="F60" s="4"/>
      <c r="G60" s="4"/>
    </row>
    <row r="61" ht="15.75" customHeight="1">
      <c r="A61" s="52" t="s">
        <v>106</v>
      </c>
      <c r="B61" s="52">
        <f>11400/4</f>
        <v>2850</v>
      </c>
      <c r="C61" s="52" t="s">
        <v>307</v>
      </c>
      <c r="D61" s="4"/>
      <c r="E61" s="4"/>
      <c r="F61" s="4"/>
      <c r="G61" s="4"/>
    </row>
    <row r="62" ht="15.75" customHeight="1">
      <c r="A62" s="52" t="s">
        <v>112</v>
      </c>
      <c r="B62" s="52">
        <f>2500/4</f>
        <v>625</v>
      </c>
      <c r="C62" s="52" t="s">
        <v>307</v>
      </c>
      <c r="D62" s="4"/>
      <c r="E62" s="4"/>
      <c r="F62" s="4"/>
      <c r="G62" s="4"/>
    </row>
    <row r="63" ht="15.75" customHeight="1">
      <c r="A63" s="54" t="s">
        <v>308</v>
      </c>
      <c r="B63" s="54">
        <f>SUM(B60:B62)</f>
        <v>8475</v>
      </c>
      <c r="D63" s="4"/>
      <c r="E63" s="4"/>
      <c r="F63" s="4"/>
      <c r="G63" s="4"/>
    </row>
    <row r="64" ht="15.75" customHeight="1">
      <c r="A64" s="54" t="s">
        <v>309</v>
      </c>
      <c r="B64" s="54">
        <f>B63*4</f>
        <v>33900</v>
      </c>
      <c r="D64" s="4"/>
      <c r="E64" s="4"/>
      <c r="F64" s="4"/>
      <c r="G64" s="4"/>
    </row>
    <row r="65" ht="15.75" customHeight="1">
      <c r="A65" s="4"/>
      <c r="B65" s="4"/>
      <c r="C65" s="4"/>
      <c r="D65" s="4"/>
      <c r="E65" s="4"/>
      <c r="F65" s="4"/>
      <c r="G65" s="4"/>
    </row>
    <row r="66" ht="15.75" customHeight="1">
      <c r="A66" s="4"/>
      <c r="B66" s="4"/>
      <c r="C66" s="4"/>
      <c r="D66" s="4"/>
      <c r="E66" s="4"/>
      <c r="F66" s="4"/>
      <c r="G66" s="4"/>
    </row>
    <row r="67" ht="15.75" customHeight="1">
      <c r="A67" s="4"/>
      <c r="B67" s="4"/>
      <c r="C67" s="4"/>
      <c r="D67" s="4"/>
      <c r="E67" s="4"/>
      <c r="F67" s="4"/>
      <c r="G67" s="4"/>
    </row>
    <row r="68" ht="15.75" customHeight="1">
      <c r="A68" s="4"/>
      <c r="B68" s="4"/>
      <c r="C68" s="4"/>
      <c r="D68" s="4"/>
      <c r="E68" s="4"/>
      <c r="F68" s="4"/>
      <c r="G68" s="4"/>
    </row>
    <row r="69" ht="15.75" customHeight="1">
      <c r="A69" s="4"/>
      <c r="B69" s="4"/>
      <c r="C69" s="4"/>
      <c r="D69" s="4"/>
      <c r="E69" s="4"/>
      <c r="F69" s="4"/>
      <c r="G69" s="4"/>
    </row>
    <row r="70" ht="15.75" customHeight="1">
      <c r="A70" s="4"/>
      <c r="B70" s="4"/>
      <c r="C70" s="4"/>
      <c r="D70" s="4"/>
      <c r="E70" s="4"/>
      <c r="F70" s="4"/>
      <c r="G70" s="4"/>
    </row>
    <row r="71" ht="15.75" customHeight="1">
      <c r="A71" s="4"/>
      <c r="B71" s="4"/>
      <c r="C71" s="4"/>
      <c r="D71" s="4"/>
      <c r="E71" s="4"/>
      <c r="F71" s="4"/>
      <c r="G71" s="4"/>
    </row>
    <row r="72" ht="15.75" customHeight="1">
      <c r="A72" s="4"/>
      <c r="B72" s="4"/>
      <c r="C72" s="4"/>
      <c r="D72" s="4"/>
      <c r="E72" s="4"/>
      <c r="F72" s="4"/>
      <c r="G72" s="4"/>
    </row>
    <row r="73" ht="15.75" customHeight="1">
      <c r="A73" s="4"/>
      <c r="B73" s="4"/>
      <c r="C73" s="4"/>
      <c r="D73" s="4"/>
      <c r="E73" s="4"/>
      <c r="F73" s="4"/>
      <c r="G73" s="4"/>
    </row>
    <row r="74" ht="15.75" customHeight="1">
      <c r="A74" s="4"/>
      <c r="B74" s="4"/>
      <c r="C74" s="4"/>
      <c r="D74" s="4"/>
      <c r="E74" s="4"/>
      <c r="F74" s="4"/>
      <c r="G74" s="4"/>
    </row>
    <row r="75" ht="15.75" customHeight="1">
      <c r="A75" s="4"/>
      <c r="B75" s="4"/>
      <c r="C75" s="4"/>
      <c r="D75" s="4"/>
      <c r="E75" s="4"/>
      <c r="F75" s="4"/>
      <c r="G75" s="4"/>
    </row>
    <row r="76" ht="15.75" customHeight="1">
      <c r="A76" s="4"/>
      <c r="B76" s="4"/>
      <c r="C76" s="4"/>
      <c r="D76" s="4"/>
      <c r="E76" s="4"/>
      <c r="F76" s="4"/>
      <c r="G76" s="4"/>
    </row>
    <row r="77" ht="15.75" customHeight="1">
      <c r="A77" s="4"/>
      <c r="B77" s="4"/>
      <c r="C77" s="4"/>
      <c r="D77" s="4"/>
      <c r="E77" s="4"/>
      <c r="F77" s="4"/>
      <c r="G77" s="4"/>
    </row>
    <row r="78" ht="15.75" customHeight="1">
      <c r="A78" s="4"/>
      <c r="B78" s="4"/>
      <c r="C78" s="4"/>
      <c r="D78" s="4"/>
      <c r="E78" s="4"/>
      <c r="F78" s="4"/>
      <c r="G78" s="4"/>
    </row>
    <row r="79" ht="15.75" customHeight="1">
      <c r="A79" s="4"/>
      <c r="B79" s="4"/>
      <c r="C79" s="4"/>
      <c r="D79" s="4"/>
      <c r="E79" s="4"/>
      <c r="F79" s="4"/>
      <c r="G79" s="4"/>
    </row>
    <row r="80" ht="15.75" customHeight="1">
      <c r="A80" s="4"/>
      <c r="B80" s="4"/>
      <c r="C80" s="4"/>
      <c r="D80" s="4"/>
      <c r="E80" s="4"/>
      <c r="F80" s="4"/>
      <c r="G80" s="4"/>
    </row>
    <row r="81" ht="15.75" customHeight="1">
      <c r="A81" s="4"/>
      <c r="B81" s="4"/>
      <c r="C81" s="4"/>
      <c r="D81" s="4"/>
      <c r="E81" s="4"/>
      <c r="F81" s="4"/>
      <c r="G81" s="4"/>
    </row>
    <row r="82" ht="15.75" customHeight="1">
      <c r="A82" s="4"/>
      <c r="B82" s="4"/>
      <c r="C82" s="4"/>
      <c r="D82" s="4"/>
      <c r="E82" s="4"/>
      <c r="F82" s="4"/>
      <c r="G82" s="4"/>
    </row>
    <row r="83" ht="15.75" customHeight="1">
      <c r="A83" s="4"/>
      <c r="B83" s="4"/>
      <c r="C83" s="4"/>
      <c r="D83" s="4"/>
      <c r="E83" s="4"/>
      <c r="F83" s="4"/>
      <c r="G83" s="4"/>
    </row>
    <row r="84" ht="15.75" customHeight="1">
      <c r="A84" s="4"/>
      <c r="B84" s="4"/>
      <c r="C84" s="4"/>
      <c r="D84" s="4"/>
      <c r="E84" s="4"/>
      <c r="F84" s="4"/>
      <c r="G84" s="4"/>
    </row>
    <row r="85" ht="15.75" customHeight="1">
      <c r="A85" s="4"/>
      <c r="B85" s="4"/>
      <c r="C85" s="4"/>
      <c r="D85" s="4"/>
      <c r="E85" s="4"/>
      <c r="F85" s="4"/>
      <c r="G85" s="4"/>
    </row>
    <row r="86" ht="15.75" customHeight="1">
      <c r="A86" s="4"/>
      <c r="B86" s="4"/>
      <c r="C86" s="4"/>
      <c r="D86" s="4"/>
      <c r="E86" s="4"/>
      <c r="F86" s="4"/>
      <c r="G86" s="4"/>
    </row>
    <row r="87" ht="15.75" customHeight="1">
      <c r="A87" s="4"/>
      <c r="B87" s="4"/>
      <c r="C87" s="4"/>
      <c r="D87" s="4"/>
      <c r="E87" s="4"/>
      <c r="F87" s="4"/>
      <c r="G87" s="4"/>
    </row>
    <row r="88" ht="15.75" customHeight="1">
      <c r="A88" s="4"/>
      <c r="B88" s="4"/>
      <c r="C88" s="4"/>
      <c r="D88" s="4"/>
      <c r="E88" s="4"/>
      <c r="F88" s="4"/>
      <c r="G88" s="4"/>
    </row>
    <row r="89" ht="15.75" customHeight="1">
      <c r="A89" s="4"/>
      <c r="B89" s="4"/>
      <c r="C89" s="4"/>
      <c r="D89" s="4"/>
      <c r="E89" s="4"/>
      <c r="F89" s="4"/>
      <c r="G89" s="4"/>
    </row>
    <row r="90" ht="15.75" customHeight="1">
      <c r="A90" s="4"/>
      <c r="B90" s="4"/>
      <c r="C90" s="4"/>
      <c r="D90" s="4"/>
      <c r="E90" s="4"/>
      <c r="F90" s="4"/>
      <c r="G90" s="4"/>
    </row>
    <row r="91" ht="15.75" customHeight="1">
      <c r="A91" s="4"/>
      <c r="B91" s="4"/>
      <c r="C91" s="4"/>
      <c r="D91" s="4"/>
      <c r="E91" s="4"/>
      <c r="F91" s="4"/>
      <c r="G91" s="4"/>
    </row>
    <row r="92" ht="15.75" customHeight="1">
      <c r="A92" s="4"/>
      <c r="B92" s="4"/>
      <c r="C92" s="4"/>
      <c r="D92" s="4"/>
      <c r="E92" s="4"/>
      <c r="F92" s="4"/>
      <c r="G92" s="4"/>
    </row>
    <row r="93" ht="15.75" customHeight="1">
      <c r="A93" s="4"/>
      <c r="B93" s="4"/>
      <c r="C93" s="4"/>
      <c r="D93" s="4"/>
      <c r="E93" s="4"/>
      <c r="F93" s="4"/>
      <c r="G93" s="4"/>
    </row>
    <row r="94" ht="15.75" customHeight="1">
      <c r="A94" s="4"/>
      <c r="B94" s="4"/>
      <c r="C94" s="4"/>
      <c r="D94" s="4"/>
      <c r="E94" s="4"/>
      <c r="F94" s="4"/>
      <c r="G94" s="4"/>
    </row>
    <row r="95" ht="15.75" customHeight="1">
      <c r="A95" s="4"/>
      <c r="B95" s="4"/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7">
    <mergeCell ref="A4:D4"/>
    <mergeCell ref="A10:D10"/>
    <mergeCell ref="A28:D28"/>
    <mergeCell ref="A38:E38"/>
    <mergeCell ref="A44:D44"/>
    <mergeCell ref="A56:E56"/>
    <mergeCell ref="A57:E5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6" width="14.43"/>
  </cols>
  <sheetData>
    <row r="1">
      <c r="A1" s="76" t="s">
        <v>310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>
      <c r="A2" s="77" t="s">
        <v>311</v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>
      <c r="A3" s="23"/>
      <c r="B3" s="78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>
      <c r="A4" s="79" t="s">
        <v>312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>
      <c r="A5" s="23" t="s">
        <v>313</v>
      </c>
      <c r="B5" s="80">
        <v>10.0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>
      <c r="A6" s="23" t="s">
        <v>314</v>
      </c>
      <c r="B6" s="81">
        <f>'Unidad económica'!E14</f>
        <v>4180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>
      <c r="A7" s="23" t="s">
        <v>315</v>
      </c>
      <c r="B7" s="81">
        <v>25000.0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>
      <c r="A8" s="23" t="s">
        <v>316</v>
      </c>
      <c r="B8" s="82">
        <v>0.05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>
      <c r="A10" s="79" t="s">
        <v>317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>
      <c r="A11" s="83" t="s">
        <v>318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>
      <c r="A12" s="83" t="s">
        <v>319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</row>
    <row r="13">
      <c r="A13" s="83" t="s">
        <v>320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</row>
    <row r="14">
      <c r="A14" s="83" t="s">
        <v>321</v>
      </c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</row>
    <row r="15">
      <c r="A15" s="83" t="s">
        <v>322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</row>
    <row r="16">
      <c r="A16" s="23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</row>
    <row r="17">
      <c r="A17" s="23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23"/>
      <c r="W17" s="23"/>
      <c r="X17" s="23"/>
      <c r="Y17" s="23"/>
      <c r="Z17" s="23"/>
      <c r="AA17" s="23"/>
      <c r="AB17" s="23"/>
      <c r="AC17" s="23"/>
    </row>
    <row r="18">
      <c r="A18" s="79" t="s">
        <v>323</v>
      </c>
      <c r="B18" s="85" t="s">
        <v>324</v>
      </c>
      <c r="C18" s="85" t="s">
        <v>325</v>
      </c>
      <c r="D18" s="85" t="s">
        <v>326</v>
      </c>
      <c r="E18" s="85" t="s">
        <v>327</v>
      </c>
      <c r="F18" s="85" t="s">
        <v>328</v>
      </c>
      <c r="G18" s="85" t="s">
        <v>329</v>
      </c>
      <c r="H18" s="85" t="s">
        <v>330</v>
      </c>
      <c r="I18" s="85" t="s">
        <v>331</v>
      </c>
      <c r="J18" s="85" t="s">
        <v>332</v>
      </c>
      <c r="K18" s="85" t="s">
        <v>333</v>
      </c>
      <c r="L18" s="85" t="s">
        <v>334</v>
      </c>
      <c r="M18" s="85" t="s">
        <v>335</v>
      </c>
      <c r="N18" s="85" t="s">
        <v>336</v>
      </c>
      <c r="O18" s="85" t="s">
        <v>337</v>
      </c>
      <c r="P18" s="85" t="s">
        <v>338</v>
      </c>
      <c r="Q18" s="85" t="s">
        <v>339</v>
      </c>
      <c r="R18" s="85" t="s">
        <v>340</v>
      </c>
      <c r="S18" s="85" t="s">
        <v>341</v>
      </c>
      <c r="T18" s="85" t="s">
        <v>342</v>
      </c>
      <c r="U18" s="85" t="s">
        <v>343</v>
      </c>
      <c r="V18" s="86" t="s">
        <v>344</v>
      </c>
      <c r="W18" s="86" t="s">
        <v>345</v>
      </c>
      <c r="X18" s="86" t="s">
        <v>346</v>
      </c>
      <c r="Y18" s="86" t="s">
        <v>347</v>
      </c>
      <c r="Z18" s="86" t="s">
        <v>348</v>
      </c>
      <c r="AA18" s="86" t="s">
        <v>349</v>
      </c>
      <c r="AB18" s="86" t="s">
        <v>350</v>
      </c>
      <c r="AC18" s="86" t="s">
        <v>351</v>
      </c>
    </row>
    <row r="19">
      <c r="A19" s="23" t="s">
        <v>352</v>
      </c>
      <c r="B19" s="87">
        <v>0.0</v>
      </c>
      <c r="C19" s="87">
        <v>1.0</v>
      </c>
      <c r="D19" s="87">
        <v>1.0</v>
      </c>
      <c r="E19" s="87">
        <v>1.0</v>
      </c>
      <c r="F19" s="87">
        <v>1.0</v>
      </c>
      <c r="G19" s="87">
        <v>1.0</v>
      </c>
      <c r="H19" s="87">
        <v>1.0</v>
      </c>
      <c r="I19" s="87">
        <v>2.0</v>
      </c>
      <c r="J19" s="87">
        <v>2.0</v>
      </c>
      <c r="K19" s="87">
        <v>3.0</v>
      </c>
      <c r="L19" s="87">
        <v>3.0</v>
      </c>
      <c r="M19" s="87">
        <v>4.0</v>
      </c>
      <c r="N19" s="87">
        <v>4.0</v>
      </c>
      <c r="O19" s="87">
        <v>5.95</v>
      </c>
      <c r="P19" s="87">
        <v>7.875625</v>
      </c>
      <c r="Q19" s="87">
        <v>8.777179687499999</v>
      </c>
      <c r="R19" s="87">
        <v>9.667464941406248</v>
      </c>
      <c r="S19" s="87">
        <v>11.54662162963867</v>
      </c>
      <c r="T19" s="87">
        <v>13.40228885926819</v>
      </c>
      <c r="U19" s="87">
        <v>14.23476024852733</v>
      </c>
      <c r="V19" s="87">
        <v>15.05682574542074</v>
      </c>
      <c r="W19" s="87">
        <v>16.86861542360298</v>
      </c>
      <c r="X19" s="87">
        <v>17.65775773080794</v>
      </c>
      <c r="Y19" s="87">
        <v>18.43703575917284</v>
      </c>
      <c r="Z19" s="87">
        <v>19.20657281218318</v>
      </c>
      <c r="AA19" s="87">
        <v>19.96649065203089</v>
      </c>
      <c r="AB19" s="87">
        <v>20.71690951888051</v>
      </c>
      <c r="AC19" s="87">
        <v>21.4579481498945</v>
      </c>
    </row>
    <row r="20">
      <c r="A20" s="88" t="s">
        <v>353</v>
      </c>
      <c r="B20" s="89">
        <v>1.0</v>
      </c>
      <c r="C20" s="89">
        <v>0.0</v>
      </c>
      <c r="D20" s="89">
        <v>0.0</v>
      </c>
      <c r="E20" s="89">
        <v>0.0</v>
      </c>
      <c r="F20" s="89">
        <v>0.0</v>
      </c>
      <c r="G20" s="89">
        <v>0.0</v>
      </c>
      <c r="H20" s="89">
        <v>1.0</v>
      </c>
      <c r="I20" s="89">
        <v>0.0</v>
      </c>
      <c r="J20" s="89">
        <v>1.0</v>
      </c>
      <c r="K20" s="89">
        <v>0.0</v>
      </c>
      <c r="L20" s="89">
        <v>1.0</v>
      </c>
      <c r="M20" s="89">
        <v>0.0</v>
      </c>
      <c r="N20" s="89">
        <v>2.0</v>
      </c>
      <c r="O20" s="89">
        <v>2.0</v>
      </c>
      <c r="P20" s="89">
        <v>1.0</v>
      </c>
      <c r="Q20" s="89">
        <v>1.0</v>
      </c>
      <c r="R20" s="89">
        <v>2.0</v>
      </c>
      <c r="S20" s="89">
        <v>2.0</v>
      </c>
      <c r="T20" s="89">
        <v>1.0</v>
      </c>
      <c r="U20" s="89">
        <v>1.0</v>
      </c>
      <c r="V20" s="89">
        <v>2.0</v>
      </c>
      <c r="W20" s="89">
        <v>1.0</v>
      </c>
      <c r="X20" s="89">
        <v>1.0</v>
      </c>
      <c r="Y20" s="89">
        <v>1.0</v>
      </c>
      <c r="Z20" s="89">
        <v>1.0</v>
      </c>
      <c r="AA20" s="89">
        <v>1.0</v>
      </c>
      <c r="AB20" s="89">
        <v>1.0</v>
      </c>
      <c r="AC20" s="89">
        <v>1.0</v>
      </c>
    </row>
    <row r="21" ht="15.75" customHeight="1">
      <c r="A21" s="90" t="s">
        <v>354</v>
      </c>
      <c r="B21" s="91">
        <v>1.0</v>
      </c>
      <c r="C21" s="91">
        <v>1.0</v>
      </c>
      <c r="D21" s="91">
        <v>1.0</v>
      </c>
      <c r="E21" s="91">
        <v>1.0</v>
      </c>
      <c r="F21" s="91">
        <v>1.0</v>
      </c>
      <c r="G21" s="91">
        <v>1.0</v>
      </c>
      <c r="H21" s="91">
        <v>2.0</v>
      </c>
      <c r="I21" s="91">
        <v>2.0</v>
      </c>
      <c r="J21" s="91">
        <v>3.0</v>
      </c>
      <c r="K21" s="91">
        <v>3.0</v>
      </c>
      <c r="L21" s="91">
        <v>4.0</v>
      </c>
      <c r="M21" s="91">
        <v>4.0</v>
      </c>
      <c r="N21" s="91">
        <v>5.95</v>
      </c>
      <c r="O21" s="91">
        <v>7.875625</v>
      </c>
      <c r="P21" s="91">
        <v>8.777179687499999</v>
      </c>
      <c r="Q21" s="91">
        <v>9.667464941406248</v>
      </c>
      <c r="R21" s="91">
        <v>11.54662162963867</v>
      </c>
      <c r="S21" s="91">
        <v>13.40228885926819</v>
      </c>
      <c r="T21" s="91">
        <v>14.23476024852733</v>
      </c>
      <c r="U21" s="91">
        <v>15.05682574542074</v>
      </c>
      <c r="V21" s="91">
        <v>16.86861542360298</v>
      </c>
      <c r="W21" s="91">
        <v>17.65775773080794</v>
      </c>
      <c r="X21" s="91">
        <v>18.43703575917284</v>
      </c>
      <c r="Y21" s="91">
        <v>19.20657281218318</v>
      </c>
      <c r="Z21" s="91">
        <v>19.96649065203089</v>
      </c>
      <c r="AA21" s="91">
        <v>20.71690951888051</v>
      </c>
      <c r="AB21" s="91">
        <v>21.4579481498945</v>
      </c>
      <c r="AC21" s="91">
        <v>22.18972379802082</v>
      </c>
    </row>
    <row r="22" ht="15.75" customHeight="1">
      <c r="A22" s="2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3" t="s">
        <v>355</v>
      </c>
      <c r="B23" s="31">
        <v>3344.0</v>
      </c>
      <c r="C23" s="31">
        <v>3344.0</v>
      </c>
      <c r="D23" s="31">
        <v>3344.0</v>
      </c>
      <c r="E23" s="31">
        <v>3344.0</v>
      </c>
      <c r="F23" s="31">
        <v>3344.0</v>
      </c>
      <c r="G23" s="31">
        <v>3344.0</v>
      </c>
      <c r="H23" s="31">
        <v>6688.0</v>
      </c>
      <c r="I23" s="31">
        <v>6688.0</v>
      </c>
      <c r="J23" s="31">
        <v>10032.0</v>
      </c>
      <c r="K23" s="31">
        <v>10032.0</v>
      </c>
      <c r="L23" s="31">
        <v>13376.0</v>
      </c>
      <c r="M23" s="31">
        <v>13376.0</v>
      </c>
      <c r="N23" s="31">
        <v>49909.2</v>
      </c>
      <c r="O23" s="31">
        <v>69349.33499999999</v>
      </c>
      <c r="P23" s="31">
        <v>83530.46831249999</v>
      </c>
      <c r="Q23" s="31">
        <v>92518.33745859373</v>
      </c>
      <c r="R23" s="31">
        <v>106409.8582403613</v>
      </c>
      <c r="S23" s="31">
        <v>125143.7350123568</v>
      </c>
      <c r="T23" s="31">
        <v>138627.4383247023</v>
      </c>
      <c r="U23" s="31">
        <v>146926.5953456436</v>
      </c>
      <c r="V23" s="31">
        <v>160138.012903823</v>
      </c>
      <c r="W23" s="31">
        <v>173184.2877425252</v>
      </c>
      <c r="X23" s="31">
        <v>181051.4841457436</v>
      </c>
      <c r="Y23" s="31">
        <v>188820.3405939218</v>
      </c>
      <c r="Z23" s="31">
        <v>196492.0863364978</v>
      </c>
      <c r="AA23" s="31">
        <v>204067.9352572916</v>
      </c>
      <c r="AB23" s="31">
        <v>211549.0860665754</v>
      </c>
      <c r="AC23" s="31">
        <v>218936.7224907432</v>
      </c>
    </row>
    <row r="24" ht="15.75" customHeight="1">
      <c r="A24" s="23" t="s">
        <v>356</v>
      </c>
      <c r="B24" s="31">
        <f>B7</f>
        <v>25000</v>
      </c>
      <c r="C24" s="31">
        <v>0.0</v>
      </c>
      <c r="D24" s="31">
        <v>0.0</v>
      </c>
      <c r="E24" s="31">
        <v>0.0</v>
      </c>
      <c r="F24" s="31">
        <v>0.0</v>
      </c>
      <c r="G24" s="31">
        <v>0.0</v>
      </c>
      <c r="H24" s="31">
        <v>0.0</v>
      </c>
      <c r="I24" s="31">
        <v>0.0</v>
      </c>
      <c r="J24" s="31">
        <v>0.0</v>
      </c>
      <c r="K24" s="31">
        <v>0.0</v>
      </c>
      <c r="L24" s="31">
        <v>0.0</v>
      </c>
      <c r="M24" s="31">
        <v>0.0</v>
      </c>
      <c r="N24" s="31">
        <v>0.0</v>
      </c>
      <c r="O24" s="31">
        <v>0.0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31">
        <v>0.0</v>
      </c>
      <c r="W24" s="31">
        <v>0.0</v>
      </c>
      <c r="X24" s="31">
        <v>0.0</v>
      </c>
      <c r="Y24" s="31">
        <v>0.0</v>
      </c>
      <c r="Z24" s="31">
        <v>0.0</v>
      </c>
      <c r="AA24" s="31">
        <v>0.0</v>
      </c>
      <c r="AB24" s="31">
        <v>0.0</v>
      </c>
      <c r="AC24" s="31">
        <v>0.0</v>
      </c>
    </row>
    <row r="25" ht="15.75" customHeight="1">
      <c r="A25" s="92" t="s">
        <v>357</v>
      </c>
      <c r="B25" s="93">
        <f t="shared" ref="B25:AC25" si="1">SUM(B23:B24)</f>
        <v>28344</v>
      </c>
      <c r="C25" s="93">
        <f t="shared" si="1"/>
        <v>3344</v>
      </c>
      <c r="D25" s="93">
        <f t="shared" si="1"/>
        <v>3344</v>
      </c>
      <c r="E25" s="93">
        <f t="shared" si="1"/>
        <v>3344</v>
      </c>
      <c r="F25" s="93">
        <f t="shared" si="1"/>
        <v>3344</v>
      </c>
      <c r="G25" s="93">
        <f t="shared" si="1"/>
        <v>3344</v>
      </c>
      <c r="H25" s="93">
        <f t="shared" si="1"/>
        <v>6688</v>
      </c>
      <c r="I25" s="93">
        <f t="shared" si="1"/>
        <v>6688</v>
      </c>
      <c r="J25" s="93">
        <f t="shared" si="1"/>
        <v>10032</v>
      </c>
      <c r="K25" s="93">
        <f t="shared" si="1"/>
        <v>10032</v>
      </c>
      <c r="L25" s="93">
        <f t="shared" si="1"/>
        <v>13376</v>
      </c>
      <c r="M25" s="93">
        <f t="shared" si="1"/>
        <v>13376</v>
      </c>
      <c r="N25" s="93">
        <f t="shared" si="1"/>
        <v>49909.2</v>
      </c>
      <c r="O25" s="93">
        <f t="shared" si="1"/>
        <v>69349.335</v>
      </c>
      <c r="P25" s="93">
        <f t="shared" si="1"/>
        <v>83530.46831</v>
      </c>
      <c r="Q25" s="93">
        <f t="shared" si="1"/>
        <v>92518.33746</v>
      </c>
      <c r="R25" s="93">
        <f t="shared" si="1"/>
        <v>106409.8582</v>
      </c>
      <c r="S25" s="93">
        <f t="shared" si="1"/>
        <v>125143.735</v>
      </c>
      <c r="T25" s="93">
        <f t="shared" si="1"/>
        <v>138627.4383</v>
      </c>
      <c r="U25" s="93">
        <f t="shared" si="1"/>
        <v>146926.5953</v>
      </c>
      <c r="V25" s="93">
        <f t="shared" si="1"/>
        <v>160138.0129</v>
      </c>
      <c r="W25" s="93">
        <f t="shared" si="1"/>
        <v>173184.2877</v>
      </c>
      <c r="X25" s="93">
        <f t="shared" si="1"/>
        <v>181051.4841</v>
      </c>
      <c r="Y25" s="93">
        <f t="shared" si="1"/>
        <v>188820.3406</v>
      </c>
      <c r="Z25" s="93">
        <f t="shared" si="1"/>
        <v>196492.0863</v>
      </c>
      <c r="AA25" s="93">
        <f t="shared" si="1"/>
        <v>204067.9353</v>
      </c>
      <c r="AB25" s="93">
        <f t="shared" si="1"/>
        <v>211549.0861</v>
      </c>
      <c r="AC25" s="93">
        <f t="shared" si="1"/>
        <v>218936.7225</v>
      </c>
    </row>
    <row r="26" ht="15.75" customHeight="1">
      <c r="A26" s="23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A27" s="23" t="s">
        <v>358</v>
      </c>
      <c r="B27" s="31">
        <v>1672.0</v>
      </c>
      <c r="C27" s="31">
        <v>1672.0</v>
      </c>
      <c r="D27" s="31">
        <v>1672.0</v>
      </c>
      <c r="E27" s="31">
        <v>1672.0</v>
      </c>
      <c r="F27" s="31">
        <v>1672.0</v>
      </c>
      <c r="G27" s="31">
        <v>1672.0</v>
      </c>
      <c r="H27" s="31">
        <v>3344.0</v>
      </c>
      <c r="I27" s="31">
        <v>3344.0</v>
      </c>
      <c r="J27" s="31">
        <v>5016.0</v>
      </c>
      <c r="K27" s="31">
        <v>5016.0</v>
      </c>
      <c r="L27" s="31">
        <v>6688.0</v>
      </c>
      <c r="M27" s="31">
        <v>6688.0</v>
      </c>
      <c r="N27" s="31">
        <v>24954.6</v>
      </c>
      <c r="O27" s="31">
        <v>34674.6675</v>
      </c>
      <c r="P27" s="31">
        <v>41765.23415624999</v>
      </c>
      <c r="Q27" s="31">
        <v>46259.16872929686</v>
      </c>
      <c r="R27" s="31">
        <v>53204.92912018065</v>
      </c>
      <c r="S27" s="31">
        <v>62571.86750617839</v>
      </c>
      <c r="T27" s="31">
        <v>69313.71916235116</v>
      </c>
      <c r="U27" s="31">
        <v>73463.29767282178</v>
      </c>
      <c r="V27" s="31">
        <v>80069.0064519115</v>
      </c>
      <c r="W27" s="31">
        <v>86592.14387126261</v>
      </c>
      <c r="X27" s="31">
        <v>90525.74207287181</v>
      </c>
      <c r="Y27" s="31">
        <v>94410.17029696092</v>
      </c>
      <c r="Z27" s="31">
        <v>98246.0431682489</v>
      </c>
      <c r="AA27" s="31">
        <v>102033.9676286458</v>
      </c>
      <c r="AB27" s="31">
        <v>105774.5430332877</v>
      </c>
      <c r="AC27" s="31">
        <v>109468.3612453716</v>
      </c>
    </row>
    <row r="28" ht="15.75" customHeight="1">
      <c r="A28" s="23" t="s">
        <v>359</v>
      </c>
      <c r="B28" s="31">
        <f>1004.16666666667</f>
        <v>1004.166667</v>
      </c>
      <c r="C28" s="31">
        <v>1004.166666666667</v>
      </c>
      <c r="D28" s="31">
        <v>1004.166666666667</v>
      </c>
      <c r="E28" s="31">
        <v>1004.166666666667</v>
      </c>
      <c r="F28" s="31">
        <v>1004.166666666667</v>
      </c>
      <c r="G28" s="31">
        <v>1004.166666666667</v>
      </c>
      <c r="H28" s="31">
        <v>2008.333333333333</v>
      </c>
      <c r="I28" s="31">
        <v>2008.333333333333</v>
      </c>
      <c r="J28" s="31">
        <v>3012.5</v>
      </c>
      <c r="K28" s="31">
        <v>3012.5</v>
      </c>
      <c r="L28" s="31">
        <v>4016.666666666666</v>
      </c>
      <c r="M28" s="31">
        <v>4016.666666666666</v>
      </c>
      <c r="N28" s="31">
        <v>14987.1875</v>
      </c>
      <c r="O28" s="31">
        <v>20824.84765625</v>
      </c>
      <c r="P28" s="31">
        <v>25083.28706054687</v>
      </c>
      <c r="Q28" s="31">
        <v>27782.24597229003</v>
      </c>
      <c r="R28" s="31">
        <v>31953.7178976364</v>
      </c>
      <c r="S28" s="31">
        <v>37579.29642391595</v>
      </c>
      <c r="T28" s="31">
        <v>41628.305218617</v>
      </c>
      <c r="U28" s="31">
        <v>44120.45140338429</v>
      </c>
      <c r="V28" s="31">
        <v>48087.69576084198</v>
      </c>
      <c r="W28" s="31">
        <v>52005.34956383145</v>
      </c>
      <c r="X28" s="31">
        <v>54367.78269428355</v>
      </c>
      <c r="Y28" s="31">
        <v>56700.68541060501</v>
      </c>
      <c r="Z28" s="31">
        <v>59004.42684297245</v>
      </c>
      <c r="AA28" s="31">
        <v>61279.37150743528</v>
      </c>
      <c r="AB28" s="31">
        <v>63525.87936359234</v>
      </c>
      <c r="AC28" s="31">
        <v>65744.30587154743</v>
      </c>
    </row>
    <row r="29" ht="15.75" customHeight="1">
      <c r="A29" s="94" t="s">
        <v>79</v>
      </c>
      <c r="B29" s="95">
        <f t="shared" ref="B29:AC29" si="2">SUM(B27:B28)</f>
        <v>2676.166667</v>
      </c>
      <c r="C29" s="95">
        <f t="shared" si="2"/>
        <v>2676.166667</v>
      </c>
      <c r="D29" s="95">
        <f t="shared" si="2"/>
        <v>2676.166667</v>
      </c>
      <c r="E29" s="95">
        <f t="shared" si="2"/>
        <v>2676.166667</v>
      </c>
      <c r="F29" s="95">
        <f t="shared" si="2"/>
        <v>2676.166667</v>
      </c>
      <c r="G29" s="95">
        <f t="shared" si="2"/>
        <v>2676.166667</v>
      </c>
      <c r="H29" s="95">
        <f t="shared" si="2"/>
        <v>5352.333333</v>
      </c>
      <c r="I29" s="95">
        <f t="shared" si="2"/>
        <v>5352.333333</v>
      </c>
      <c r="J29" s="95">
        <f t="shared" si="2"/>
        <v>8028.5</v>
      </c>
      <c r="K29" s="95">
        <f t="shared" si="2"/>
        <v>8028.5</v>
      </c>
      <c r="L29" s="95">
        <f t="shared" si="2"/>
        <v>10704.66667</v>
      </c>
      <c r="M29" s="95">
        <f t="shared" si="2"/>
        <v>10704.66667</v>
      </c>
      <c r="N29" s="95">
        <f t="shared" si="2"/>
        <v>39941.7875</v>
      </c>
      <c r="O29" s="95">
        <f t="shared" si="2"/>
        <v>55499.51516</v>
      </c>
      <c r="P29" s="95">
        <f t="shared" si="2"/>
        <v>66848.52122</v>
      </c>
      <c r="Q29" s="95">
        <f t="shared" si="2"/>
        <v>74041.4147</v>
      </c>
      <c r="R29" s="95">
        <f t="shared" si="2"/>
        <v>85158.64702</v>
      </c>
      <c r="S29" s="95">
        <f t="shared" si="2"/>
        <v>100151.1639</v>
      </c>
      <c r="T29" s="95">
        <f t="shared" si="2"/>
        <v>110942.0244</v>
      </c>
      <c r="U29" s="95">
        <f t="shared" si="2"/>
        <v>117583.7491</v>
      </c>
      <c r="V29" s="95">
        <f t="shared" si="2"/>
        <v>128156.7022</v>
      </c>
      <c r="W29" s="95">
        <f t="shared" si="2"/>
        <v>138597.4934</v>
      </c>
      <c r="X29" s="95">
        <f t="shared" si="2"/>
        <v>144893.5248</v>
      </c>
      <c r="Y29" s="95">
        <f t="shared" si="2"/>
        <v>151110.8557</v>
      </c>
      <c r="Z29" s="95">
        <f t="shared" si="2"/>
        <v>157250.47</v>
      </c>
      <c r="AA29" s="95">
        <f t="shared" si="2"/>
        <v>163313.3391</v>
      </c>
      <c r="AB29" s="95">
        <f t="shared" si="2"/>
        <v>169300.4224</v>
      </c>
      <c r="AC29" s="95">
        <f t="shared" si="2"/>
        <v>175212.6671</v>
      </c>
    </row>
    <row r="30" ht="15.75" customHeight="1">
      <c r="A30" s="2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90" t="s">
        <v>360</v>
      </c>
      <c r="B31" s="96">
        <f t="shared" ref="B31:AC31" si="3">B25-B29</f>
        <v>25667.83333</v>
      </c>
      <c r="C31" s="96">
        <f t="shared" si="3"/>
        <v>667.8333333</v>
      </c>
      <c r="D31" s="96">
        <f t="shared" si="3"/>
        <v>667.8333333</v>
      </c>
      <c r="E31" s="96">
        <f t="shared" si="3"/>
        <v>667.8333333</v>
      </c>
      <c r="F31" s="96">
        <f t="shared" si="3"/>
        <v>667.8333333</v>
      </c>
      <c r="G31" s="96">
        <f t="shared" si="3"/>
        <v>667.8333333</v>
      </c>
      <c r="H31" s="96">
        <f t="shared" si="3"/>
        <v>1335.666667</v>
      </c>
      <c r="I31" s="96">
        <f t="shared" si="3"/>
        <v>1335.666667</v>
      </c>
      <c r="J31" s="96">
        <f t="shared" si="3"/>
        <v>2003.5</v>
      </c>
      <c r="K31" s="96">
        <f t="shared" si="3"/>
        <v>2003.5</v>
      </c>
      <c r="L31" s="96">
        <f t="shared" si="3"/>
        <v>2671.333333</v>
      </c>
      <c r="M31" s="96">
        <f t="shared" si="3"/>
        <v>2671.333333</v>
      </c>
      <c r="N31" s="96">
        <f t="shared" si="3"/>
        <v>9967.4125</v>
      </c>
      <c r="O31" s="96">
        <f t="shared" si="3"/>
        <v>13849.81984</v>
      </c>
      <c r="P31" s="96">
        <f t="shared" si="3"/>
        <v>16681.9471</v>
      </c>
      <c r="Q31" s="96">
        <f t="shared" si="3"/>
        <v>18476.92276</v>
      </c>
      <c r="R31" s="96">
        <f t="shared" si="3"/>
        <v>21251.21122</v>
      </c>
      <c r="S31" s="96">
        <f t="shared" si="3"/>
        <v>24992.57108</v>
      </c>
      <c r="T31" s="96">
        <f t="shared" si="3"/>
        <v>27685.41394</v>
      </c>
      <c r="U31" s="96">
        <f t="shared" si="3"/>
        <v>29342.84627</v>
      </c>
      <c r="V31" s="96">
        <f t="shared" si="3"/>
        <v>31981.31069</v>
      </c>
      <c r="W31" s="96">
        <f t="shared" si="3"/>
        <v>34586.79431</v>
      </c>
      <c r="X31" s="96">
        <f t="shared" si="3"/>
        <v>36157.95938</v>
      </c>
      <c r="Y31" s="96">
        <f t="shared" si="3"/>
        <v>37709.48489</v>
      </c>
      <c r="Z31" s="96">
        <f t="shared" si="3"/>
        <v>39241.61633</v>
      </c>
      <c r="AA31" s="96">
        <f t="shared" si="3"/>
        <v>40754.59612</v>
      </c>
      <c r="AB31" s="96">
        <f t="shared" si="3"/>
        <v>42248.66367</v>
      </c>
      <c r="AC31" s="96">
        <f t="shared" si="3"/>
        <v>43724.05537</v>
      </c>
    </row>
    <row r="32" ht="15.75" customHeight="1">
      <c r="A32" s="97" t="s">
        <v>361</v>
      </c>
      <c r="B32" s="98">
        <v>25667.83333333333</v>
      </c>
      <c r="C32" s="98">
        <f t="shared" ref="C32:AC32" si="4">B32+C31</f>
        <v>26335.66667</v>
      </c>
      <c r="D32" s="98">
        <f t="shared" si="4"/>
        <v>27003.5</v>
      </c>
      <c r="E32" s="98">
        <f t="shared" si="4"/>
        <v>27671.33333</v>
      </c>
      <c r="F32" s="98">
        <f t="shared" si="4"/>
        <v>28339.16667</v>
      </c>
      <c r="G32" s="98">
        <f t="shared" si="4"/>
        <v>29007</v>
      </c>
      <c r="H32" s="98">
        <f t="shared" si="4"/>
        <v>30342.66667</v>
      </c>
      <c r="I32" s="98">
        <f t="shared" si="4"/>
        <v>31678.33333</v>
      </c>
      <c r="J32" s="98">
        <f t="shared" si="4"/>
        <v>33681.83333</v>
      </c>
      <c r="K32" s="98">
        <f t="shared" si="4"/>
        <v>35685.33333</v>
      </c>
      <c r="L32" s="98">
        <f t="shared" si="4"/>
        <v>38356.66667</v>
      </c>
      <c r="M32" s="98">
        <f t="shared" si="4"/>
        <v>41028</v>
      </c>
      <c r="N32" s="98">
        <f t="shared" si="4"/>
        <v>50995.4125</v>
      </c>
      <c r="O32" s="98">
        <f t="shared" si="4"/>
        <v>64845.23234</v>
      </c>
      <c r="P32" s="98">
        <f t="shared" si="4"/>
        <v>81527.17944</v>
      </c>
      <c r="Q32" s="98">
        <f t="shared" si="4"/>
        <v>100004.1022</v>
      </c>
      <c r="R32" s="98">
        <f t="shared" si="4"/>
        <v>121255.3134</v>
      </c>
      <c r="S32" s="98">
        <f t="shared" si="4"/>
        <v>146247.8845</v>
      </c>
      <c r="T32" s="98">
        <f t="shared" si="4"/>
        <v>173933.2984</v>
      </c>
      <c r="U32" s="98">
        <f t="shared" si="4"/>
        <v>203276.1447</v>
      </c>
      <c r="V32" s="98">
        <f t="shared" si="4"/>
        <v>235257.4554</v>
      </c>
      <c r="W32" s="98">
        <f t="shared" si="4"/>
        <v>269844.2497</v>
      </c>
      <c r="X32" s="98">
        <f t="shared" si="4"/>
        <v>306002.2091</v>
      </c>
      <c r="Y32" s="98">
        <f t="shared" si="4"/>
        <v>343711.694</v>
      </c>
      <c r="Z32" s="98">
        <f t="shared" si="4"/>
        <v>382953.3103</v>
      </c>
      <c r="AA32" s="98">
        <f t="shared" si="4"/>
        <v>423707.9064</v>
      </c>
      <c r="AB32" s="98">
        <f t="shared" si="4"/>
        <v>465956.5701</v>
      </c>
      <c r="AC32" s="98">
        <f t="shared" si="4"/>
        <v>509680.6255</v>
      </c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mergeCells count="3">
    <mergeCell ref="A1:F1"/>
    <mergeCell ref="A2:F2"/>
    <mergeCell ref="A4:B4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0"/>
    <col customWidth="1" min="3" max="3" width="20.0"/>
    <col customWidth="1" min="4" max="4" width="21.71"/>
    <col customWidth="1" min="5" max="6" width="8.71"/>
  </cols>
  <sheetData>
    <row r="1" ht="24.75" customHeight="1">
      <c r="A1" s="99" t="s">
        <v>362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4"/>
      <c r="B2" s="4"/>
      <c r="C2" s="100"/>
      <c r="D2" s="100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7" t="s">
        <v>363</v>
      </c>
      <c r="B3" s="7" t="s">
        <v>364</v>
      </c>
      <c r="C3" s="101" t="s">
        <v>365</v>
      </c>
      <c r="D3" s="101" t="s">
        <v>366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02" t="s">
        <v>367</v>
      </c>
      <c r="B4" s="8" t="s">
        <v>368</v>
      </c>
      <c r="C4" s="100" t="s">
        <v>369</v>
      </c>
      <c r="D4" s="100" t="s">
        <v>370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02" t="s">
        <v>367</v>
      </c>
      <c r="B5" s="8" t="s">
        <v>371</v>
      </c>
      <c r="C5" s="100" t="s">
        <v>372</v>
      </c>
      <c r="D5" s="100" t="s">
        <v>373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3" t="s">
        <v>374</v>
      </c>
      <c r="B6" s="8" t="s">
        <v>375</v>
      </c>
      <c r="C6" s="100" t="s">
        <v>376</v>
      </c>
      <c r="D6" s="100" t="s">
        <v>377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03" t="s">
        <v>374</v>
      </c>
      <c r="B7" s="8" t="s">
        <v>378</v>
      </c>
      <c r="C7" s="104">
        <v>0.5</v>
      </c>
      <c r="D7" s="100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05" t="s">
        <v>379</v>
      </c>
      <c r="B8" s="8" t="s">
        <v>380</v>
      </c>
      <c r="C8" s="100" t="s">
        <v>381</v>
      </c>
      <c r="D8" s="100" t="s">
        <v>209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05" t="s">
        <v>379</v>
      </c>
      <c r="B9" s="8" t="s">
        <v>382</v>
      </c>
      <c r="C9" s="104">
        <v>0.1</v>
      </c>
      <c r="D9" s="100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05" t="s">
        <v>379</v>
      </c>
      <c r="B10" s="8" t="s">
        <v>383</v>
      </c>
      <c r="C10" s="100" t="s">
        <v>384</v>
      </c>
      <c r="D10" s="100" t="s">
        <v>209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06" t="s">
        <v>385</v>
      </c>
      <c r="B11" s="8" t="s">
        <v>386</v>
      </c>
      <c r="C11" s="100" t="s">
        <v>387</v>
      </c>
      <c r="D11" s="100" t="s">
        <v>387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06" t="s">
        <v>385</v>
      </c>
      <c r="B12" s="8" t="s">
        <v>388</v>
      </c>
      <c r="C12" s="100" t="s">
        <v>389</v>
      </c>
      <c r="D12" s="100" t="s">
        <v>209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07" t="s">
        <v>390</v>
      </c>
      <c r="B13" s="8" t="s">
        <v>391</v>
      </c>
      <c r="C13" s="100" t="s">
        <v>392</v>
      </c>
      <c r="D13" s="100" t="s">
        <v>209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07" t="s">
        <v>390</v>
      </c>
      <c r="B14" s="8" t="s">
        <v>393</v>
      </c>
      <c r="C14" s="100" t="s">
        <v>394</v>
      </c>
      <c r="D14" s="100" t="s">
        <v>115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100"/>
      <c r="D15" s="10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100"/>
      <c r="D16" s="10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100"/>
      <c r="D17" s="10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100"/>
      <c r="D18" s="10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100"/>
      <c r="D19" s="10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100"/>
      <c r="D20" s="10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100"/>
      <c r="D21" s="10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100"/>
      <c r="D22" s="10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100"/>
      <c r="D23" s="10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100"/>
      <c r="D24" s="10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100"/>
      <c r="D25" s="10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100"/>
      <c r="D26" s="10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100"/>
      <c r="D27" s="10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100"/>
      <c r="D28" s="10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100"/>
      <c r="D29" s="10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100"/>
      <c r="D30" s="10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100"/>
      <c r="D31" s="10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100"/>
      <c r="D32" s="10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100"/>
      <c r="D33" s="10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100"/>
      <c r="D34" s="10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100"/>
      <c r="D35" s="10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100"/>
      <c r="D36" s="10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100"/>
      <c r="D37" s="10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100"/>
      <c r="D38" s="10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100"/>
      <c r="D39" s="10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100"/>
      <c r="D40" s="10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100"/>
      <c r="D41" s="10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100"/>
      <c r="D42" s="10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100"/>
      <c r="D43" s="10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100"/>
      <c r="D44" s="10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100"/>
      <c r="D45" s="10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100"/>
      <c r="D46" s="10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100"/>
      <c r="D47" s="10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100"/>
      <c r="D48" s="10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100"/>
      <c r="D49" s="10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100"/>
      <c r="D50" s="10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100"/>
      <c r="D51" s="10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100"/>
      <c r="D52" s="10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100"/>
      <c r="D53" s="10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100"/>
      <c r="D54" s="10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100"/>
      <c r="D55" s="10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100"/>
      <c r="D56" s="10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100"/>
      <c r="D57" s="10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100"/>
      <c r="D58" s="10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100"/>
      <c r="D59" s="10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100"/>
      <c r="D60" s="10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100"/>
      <c r="D61" s="10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100"/>
      <c r="D62" s="10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100"/>
      <c r="D63" s="10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100"/>
      <c r="D64" s="10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100"/>
      <c r="D65" s="10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100"/>
      <c r="D66" s="10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100"/>
      <c r="D67" s="10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100"/>
      <c r="D68" s="10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100"/>
      <c r="D69" s="10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100"/>
      <c r="D70" s="10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100"/>
      <c r="D71" s="10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100"/>
      <c r="D72" s="10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100"/>
      <c r="D73" s="10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100"/>
      <c r="D74" s="10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100"/>
      <c r="D75" s="10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100"/>
      <c r="D76" s="10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100"/>
      <c r="D77" s="10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100"/>
      <c r="D78" s="10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100"/>
      <c r="D79" s="10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100"/>
      <c r="D80" s="10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100"/>
      <c r="D81" s="10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100"/>
      <c r="D82" s="10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100"/>
      <c r="D83" s="10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100"/>
      <c r="D84" s="10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100"/>
      <c r="D85" s="10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100"/>
      <c r="D86" s="10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100"/>
      <c r="D87" s="10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100"/>
      <c r="D88" s="10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100"/>
      <c r="D89" s="10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100"/>
      <c r="D90" s="10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100"/>
      <c r="D91" s="10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100"/>
      <c r="D92" s="10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100"/>
      <c r="D93" s="10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100"/>
      <c r="D94" s="10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100"/>
      <c r="D95" s="10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100"/>
      <c r="D96" s="10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100"/>
      <c r="D97" s="10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100"/>
      <c r="D98" s="10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100"/>
      <c r="D99" s="10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100"/>
      <c r="D100" s="10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100"/>
      <c r="D101" s="10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100"/>
      <c r="D102" s="10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100"/>
      <c r="D103" s="10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100"/>
      <c r="D104" s="10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100"/>
      <c r="D105" s="10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100"/>
      <c r="D106" s="10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100"/>
      <c r="D107" s="10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100"/>
      <c r="D108" s="10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100"/>
      <c r="D109" s="10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100"/>
      <c r="D110" s="10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100"/>
      <c r="D111" s="10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100"/>
      <c r="D112" s="10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100"/>
      <c r="D113" s="10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100"/>
      <c r="D114" s="10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100"/>
      <c r="D115" s="10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100"/>
      <c r="D116" s="10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100"/>
      <c r="D117" s="10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100"/>
      <c r="D118" s="10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100"/>
      <c r="D119" s="10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100"/>
      <c r="D120" s="10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100"/>
      <c r="D121" s="10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100"/>
      <c r="D122" s="10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100"/>
      <c r="D123" s="10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100"/>
      <c r="D124" s="10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100"/>
      <c r="D125" s="10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100"/>
      <c r="D126" s="10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100"/>
      <c r="D127" s="10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100"/>
      <c r="D128" s="10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100"/>
      <c r="D129" s="10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100"/>
      <c r="D130" s="10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100"/>
      <c r="D131" s="10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100"/>
      <c r="D132" s="10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100"/>
      <c r="D133" s="10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100"/>
      <c r="D134" s="10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100"/>
      <c r="D135" s="10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100"/>
      <c r="D136" s="10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100"/>
      <c r="D137" s="10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100"/>
      <c r="D138" s="10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100"/>
      <c r="D139" s="10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100"/>
      <c r="D140" s="10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100"/>
      <c r="D141" s="10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100"/>
      <c r="D142" s="10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100"/>
      <c r="D143" s="10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100"/>
      <c r="D144" s="10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100"/>
      <c r="D145" s="10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100"/>
      <c r="D146" s="10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100"/>
      <c r="D147" s="10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100"/>
      <c r="D148" s="10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100"/>
      <c r="D149" s="10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100"/>
      <c r="D150" s="10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100"/>
      <c r="D151" s="10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100"/>
      <c r="D152" s="10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100"/>
      <c r="D153" s="10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100"/>
      <c r="D154" s="10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100"/>
      <c r="D155" s="10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100"/>
      <c r="D156" s="10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100"/>
      <c r="D157" s="10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100"/>
      <c r="D158" s="10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100"/>
      <c r="D159" s="10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100"/>
      <c r="D160" s="10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100"/>
      <c r="D161" s="10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100"/>
      <c r="D162" s="10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100"/>
      <c r="D163" s="10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100"/>
      <c r="D164" s="10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100"/>
      <c r="D165" s="10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100"/>
      <c r="D166" s="10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100"/>
      <c r="D167" s="10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100"/>
      <c r="D168" s="10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100"/>
      <c r="D169" s="10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100"/>
      <c r="D170" s="10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100"/>
      <c r="D171" s="10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100"/>
      <c r="D172" s="10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100"/>
      <c r="D173" s="10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100"/>
      <c r="D174" s="10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100"/>
      <c r="D175" s="10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100"/>
      <c r="D176" s="10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100"/>
      <c r="D177" s="10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100"/>
      <c r="D178" s="10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100"/>
      <c r="D179" s="10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100"/>
      <c r="D180" s="10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100"/>
      <c r="D181" s="10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100"/>
      <c r="D182" s="10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100"/>
      <c r="D183" s="10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100"/>
      <c r="D184" s="10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100"/>
      <c r="D185" s="10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100"/>
      <c r="D186" s="10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100"/>
      <c r="D187" s="10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100"/>
      <c r="D188" s="10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100"/>
      <c r="D189" s="10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100"/>
      <c r="D190" s="10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100"/>
      <c r="D191" s="10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100"/>
      <c r="D192" s="10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100"/>
      <c r="D193" s="10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100"/>
      <c r="D194" s="10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100"/>
      <c r="D195" s="10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100"/>
      <c r="D196" s="10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100"/>
      <c r="D197" s="10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100"/>
      <c r="D198" s="10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100"/>
      <c r="D199" s="10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100"/>
      <c r="D200" s="10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100"/>
      <c r="D201" s="10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100"/>
      <c r="D202" s="10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100"/>
      <c r="D203" s="10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100"/>
      <c r="D204" s="10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100"/>
      <c r="D205" s="10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100"/>
      <c r="D206" s="10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100"/>
      <c r="D207" s="10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100"/>
      <c r="D208" s="10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100"/>
      <c r="D209" s="10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100"/>
      <c r="D210" s="10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100"/>
      <c r="D211" s="10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100"/>
      <c r="D212" s="10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100"/>
      <c r="D213" s="10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100"/>
      <c r="D214" s="10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100"/>
      <c r="D215" s="10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100"/>
      <c r="D216" s="10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100"/>
      <c r="D217" s="10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100"/>
      <c r="D218" s="10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100"/>
      <c r="D219" s="10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100"/>
      <c r="D220" s="10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0.0"/>
    <col customWidth="1" min="3" max="3" width="20.0"/>
    <col customWidth="1" min="4" max="6" width="8.71"/>
  </cols>
  <sheetData>
    <row r="1" ht="24.75" customHeight="1">
      <c r="A1" s="99" t="s">
        <v>395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8" t="s">
        <v>396</v>
      </c>
      <c r="B3" s="2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15</v>
      </c>
      <c r="B4" s="7" t="s">
        <v>397</v>
      </c>
      <c r="C4" s="7" t="s">
        <v>398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399</v>
      </c>
      <c r="B5" s="8" t="s">
        <v>400</v>
      </c>
      <c r="C5" s="8" t="s">
        <v>401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402</v>
      </c>
      <c r="B6" s="8" t="s">
        <v>403</v>
      </c>
      <c r="C6" s="8" t="s">
        <v>404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405</v>
      </c>
      <c r="B7" s="8" t="s">
        <v>406</v>
      </c>
      <c r="C7" s="8" t="s">
        <v>404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407</v>
      </c>
      <c r="B8" s="8" t="s">
        <v>408</v>
      </c>
      <c r="C8" s="8" t="s">
        <v>409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8" t="s">
        <v>410</v>
      </c>
      <c r="B10" s="2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 t="s">
        <v>3</v>
      </c>
      <c r="B11" s="7" t="s">
        <v>98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411</v>
      </c>
      <c r="B12" s="8" t="s">
        <v>412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58</v>
      </c>
      <c r="B13" s="8" t="s">
        <v>413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414</v>
      </c>
      <c r="B14" s="8" t="s">
        <v>415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416</v>
      </c>
      <c r="B15" s="8" t="s">
        <v>415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417</v>
      </c>
      <c r="B16" s="8" t="s">
        <v>418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419</v>
      </c>
      <c r="B17" s="8" t="s">
        <v>420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421</v>
      </c>
      <c r="B18" s="8" t="s">
        <v>422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C1"/>
    <mergeCell ref="A3:C3"/>
    <mergeCell ref="A10:C10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12.0"/>
    <col customWidth="1" min="3" max="4" width="15.0"/>
    <col customWidth="1" min="5" max="6" width="8.71"/>
  </cols>
  <sheetData>
    <row r="1" ht="24.75" customHeight="1">
      <c r="A1" s="99" t="s">
        <v>423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8" t="s">
        <v>424</v>
      </c>
      <c r="B3" s="2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</v>
      </c>
      <c r="B4" s="7" t="s">
        <v>425</v>
      </c>
      <c r="C4" s="7" t="s">
        <v>426</v>
      </c>
      <c r="D4" s="7" t="s">
        <v>427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428</v>
      </c>
      <c r="B5" s="8">
        <v>50.0</v>
      </c>
      <c r="C5" s="109">
        <v>12.5</v>
      </c>
      <c r="D5" s="11">
        <f t="shared" ref="D5:D6" si="1">B5*C5</f>
        <v>625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429</v>
      </c>
      <c r="B6" s="8">
        <v>1.0</v>
      </c>
      <c r="C6" s="109">
        <v>200.0</v>
      </c>
      <c r="D6" s="11">
        <f t="shared" si="1"/>
        <v>200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" t="s">
        <v>430</v>
      </c>
      <c r="B7" s="4"/>
      <c r="C7" s="109"/>
      <c r="D7" s="13">
        <f>SUM(D5:D6)</f>
        <v>825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8" t="s">
        <v>431</v>
      </c>
      <c r="B9" s="2"/>
      <c r="C9" s="2"/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432</v>
      </c>
      <c r="B10" s="4"/>
      <c r="C10" s="4"/>
      <c r="D10" s="8">
        <v>4.0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433</v>
      </c>
      <c r="B11" s="4"/>
      <c r="C11" s="4"/>
      <c r="D11" s="8">
        <v>50.0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434</v>
      </c>
      <c r="B12" s="4"/>
      <c r="C12" s="4"/>
      <c r="D12" s="8">
        <f>D10*4</f>
        <v>16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435</v>
      </c>
      <c r="B13" s="4"/>
      <c r="C13" s="4"/>
      <c r="D13" s="8">
        <f>D12*D11</f>
        <v>800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" t="s">
        <v>436</v>
      </c>
      <c r="B14" s="4"/>
      <c r="C14" s="109"/>
      <c r="D14" s="13">
        <f>D7*D12</f>
        <v>13200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6" t="s">
        <v>70</v>
      </c>
      <c r="B17" s="30">
        <v>0.5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437</v>
      </c>
      <c r="B18" s="8">
        <f>D13*B17</f>
        <v>400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6" t="s">
        <v>74</v>
      </c>
      <c r="B19" s="30">
        <v>0.1</v>
      </c>
      <c r="C19" s="4"/>
      <c r="D19" s="1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438</v>
      </c>
      <c r="B20" s="8">
        <f>B18*B19</f>
        <v>40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D1"/>
    <mergeCell ref="A3:D3"/>
    <mergeCell ref="A9:D9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66.71"/>
    <col customWidth="1" min="3" max="3" width="14.43"/>
    <col customWidth="1" min="4" max="4" width="14.14"/>
    <col customWidth="1" min="5" max="5" width="22.29"/>
    <col customWidth="1" min="6" max="6" width="14.43"/>
    <col customWidth="1" min="7" max="7" width="17.71"/>
  </cols>
  <sheetData>
    <row r="1">
      <c r="A1" s="90" t="s">
        <v>439</v>
      </c>
      <c r="B1" s="90" t="s">
        <v>440</v>
      </c>
      <c r="C1" s="111" t="s">
        <v>441</v>
      </c>
      <c r="D1" s="112"/>
      <c r="E1" s="112"/>
      <c r="F1" s="112" t="s">
        <v>442</v>
      </c>
      <c r="G1" s="113">
        <v>1500.0</v>
      </c>
      <c r="H1" s="112"/>
      <c r="I1" s="112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12" t="s">
        <v>443</v>
      </c>
      <c r="B2" s="115">
        <v>250.0</v>
      </c>
      <c r="C2" s="116">
        <f t="shared" ref="C2:C4" si="1">B2*$G$1</f>
        <v>375000</v>
      </c>
      <c r="D2" s="112"/>
      <c r="E2" s="112"/>
      <c r="F2" s="112"/>
      <c r="G2" s="112"/>
      <c r="H2" s="112"/>
      <c r="I2" s="112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112" t="s">
        <v>444</v>
      </c>
      <c r="B3" s="115">
        <v>150.0</v>
      </c>
      <c r="C3" s="116">
        <f t="shared" si="1"/>
        <v>225000</v>
      </c>
      <c r="D3" s="112"/>
      <c r="E3" s="112"/>
      <c r="F3" s="112"/>
      <c r="G3" s="112"/>
      <c r="H3" s="112"/>
      <c r="I3" s="112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>
      <c r="A4" s="112" t="s">
        <v>416</v>
      </c>
      <c r="B4" s="115">
        <v>200.0</v>
      </c>
      <c r="C4" s="116">
        <f t="shared" si="1"/>
        <v>300000</v>
      </c>
      <c r="D4" s="112"/>
      <c r="E4" s="112"/>
      <c r="F4" s="112"/>
      <c r="G4" s="112"/>
      <c r="H4" s="112"/>
      <c r="I4" s="112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</row>
    <row r="5">
      <c r="A5" s="112"/>
      <c r="B5" s="112"/>
      <c r="C5" s="112"/>
      <c r="D5" s="117"/>
      <c r="E5" s="112"/>
      <c r="F5" s="112"/>
      <c r="G5" s="112"/>
      <c r="H5" s="112"/>
      <c r="I5" s="112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</row>
    <row r="6">
      <c r="A6" s="112"/>
      <c r="B6" s="112"/>
      <c r="C6" s="112"/>
      <c r="D6" s="117"/>
      <c r="E6" s="112"/>
      <c r="F6" s="112"/>
      <c r="G6" s="112"/>
      <c r="H6" s="112"/>
      <c r="I6" s="112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</row>
    <row r="7">
      <c r="A7" s="112"/>
      <c r="B7" s="112"/>
      <c r="C7" s="112"/>
      <c r="D7" s="112"/>
      <c r="E7" s="112"/>
      <c r="F7" s="112"/>
      <c r="G7" s="112"/>
      <c r="H7" s="112"/>
      <c r="I7" s="112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</row>
    <row r="8">
      <c r="A8" s="118" t="s">
        <v>445</v>
      </c>
      <c r="B8" s="118" t="s">
        <v>446</v>
      </c>
      <c r="C8" s="118" t="s">
        <v>447</v>
      </c>
      <c r="D8" s="118" t="s">
        <v>448</v>
      </c>
      <c r="E8" s="118" t="s">
        <v>449</v>
      </c>
      <c r="F8" s="119" t="s">
        <v>450</v>
      </c>
      <c r="G8" s="119" t="s">
        <v>451</v>
      </c>
      <c r="H8" s="112"/>
      <c r="I8" s="112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</row>
    <row r="9">
      <c r="A9" s="115">
        <v>1.0</v>
      </c>
      <c r="B9" s="90" t="s">
        <v>452</v>
      </c>
      <c r="C9" s="112"/>
      <c r="D9" s="112"/>
      <c r="E9" s="112"/>
      <c r="F9" s="117"/>
      <c r="G9" s="117"/>
      <c r="H9" s="112"/>
      <c r="I9" s="112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</row>
    <row r="10">
      <c r="A10" s="112"/>
      <c r="B10" s="112" t="s">
        <v>453</v>
      </c>
      <c r="C10" s="115">
        <v>3.0</v>
      </c>
      <c r="D10" s="115">
        <v>2.0</v>
      </c>
      <c r="E10" s="115">
        <v>1.0</v>
      </c>
      <c r="F10" s="120">
        <f>G10/TC_USD_ARS</f>
        <v>1500</v>
      </c>
      <c r="G10" s="120">
        <f t="shared" ref="G10:G11" si="2">C10*D10*E10*$C$2</f>
        <v>2250000</v>
      </c>
      <c r="H10" s="121">
        <f t="shared" ref="H10:H11" si="3">F10/$F$21</f>
        <v>0.25</v>
      </c>
      <c r="I10" s="112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</row>
    <row r="11">
      <c r="A11" s="112"/>
      <c r="B11" s="112" t="s">
        <v>454</v>
      </c>
      <c r="C11" s="115">
        <v>3.0</v>
      </c>
      <c r="D11" s="115">
        <v>2.0</v>
      </c>
      <c r="E11" s="115">
        <v>1.0</v>
      </c>
      <c r="F11" s="120">
        <f>G11/TC_USD_ARS</f>
        <v>1500</v>
      </c>
      <c r="G11" s="120">
        <f t="shared" si="2"/>
        <v>2250000</v>
      </c>
      <c r="H11" s="121">
        <f t="shared" si="3"/>
        <v>0.25</v>
      </c>
      <c r="I11" s="112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</row>
    <row r="12">
      <c r="A12" s="112"/>
      <c r="B12" s="112"/>
      <c r="C12" s="112"/>
      <c r="D12" s="112"/>
      <c r="E12" s="112"/>
      <c r="F12" s="117"/>
      <c r="G12" s="117"/>
      <c r="H12" s="122"/>
      <c r="I12" s="112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</row>
    <row r="13">
      <c r="A13" s="115">
        <v>2.0</v>
      </c>
      <c r="B13" s="90" t="s">
        <v>455</v>
      </c>
      <c r="C13" s="112"/>
      <c r="D13" s="112"/>
      <c r="E13" s="112"/>
      <c r="F13" s="117"/>
      <c r="G13" s="117"/>
      <c r="H13" s="122"/>
      <c r="I13" s="112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</row>
    <row r="14">
      <c r="A14" s="112"/>
      <c r="B14" s="112" t="s">
        <v>456</v>
      </c>
      <c r="C14" s="115">
        <v>4.0</v>
      </c>
      <c r="D14" s="115">
        <v>1.0</v>
      </c>
      <c r="E14" s="115">
        <v>2.0</v>
      </c>
      <c r="F14" s="120">
        <f>G14/TC_USD_ARS</f>
        <v>1200</v>
      </c>
      <c r="G14" s="120">
        <f t="shared" ref="G14:G15" si="4">C14*D14*E14*$C$3</f>
        <v>1800000</v>
      </c>
      <c r="H14" s="121">
        <f t="shared" ref="H14:H15" si="5">F14/$F$21</f>
        <v>0.2</v>
      </c>
      <c r="I14" s="112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</row>
    <row r="15">
      <c r="A15" s="112"/>
      <c r="B15" s="112" t="s">
        <v>456</v>
      </c>
      <c r="C15" s="115">
        <v>4.0</v>
      </c>
      <c r="D15" s="115">
        <v>1.0</v>
      </c>
      <c r="E15" s="115">
        <v>2.0</v>
      </c>
      <c r="F15" s="120">
        <f>G15/TC_USD_ARS</f>
        <v>1200</v>
      </c>
      <c r="G15" s="120">
        <f t="shared" si="4"/>
        <v>1800000</v>
      </c>
      <c r="H15" s="121">
        <f t="shared" si="5"/>
        <v>0.2</v>
      </c>
      <c r="I15" s="112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</row>
    <row r="16">
      <c r="A16" s="115"/>
      <c r="B16" s="90"/>
      <c r="C16" s="112"/>
      <c r="D16" s="112"/>
      <c r="E16" s="112"/>
      <c r="F16" s="117"/>
      <c r="G16" s="117"/>
      <c r="H16" s="122"/>
      <c r="I16" s="112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</row>
    <row r="17">
      <c r="A17" s="115">
        <v>3.0</v>
      </c>
      <c r="B17" s="90" t="s">
        <v>457</v>
      </c>
      <c r="C17" s="112"/>
      <c r="D17" s="112"/>
      <c r="E17" s="112"/>
      <c r="F17" s="117"/>
      <c r="G17" s="117"/>
      <c r="H17" s="122"/>
      <c r="I17" s="112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</row>
    <row r="18">
      <c r="A18" s="112"/>
      <c r="B18" s="123" t="s">
        <v>458</v>
      </c>
      <c r="C18" s="115">
        <v>1.0</v>
      </c>
      <c r="D18" s="115">
        <v>3.0</v>
      </c>
      <c r="E18" s="115">
        <v>1.0</v>
      </c>
      <c r="F18" s="120">
        <f>G18/G1</f>
        <v>600</v>
      </c>
      <c r="G18" s="120">
        <f>C18*D18*E18*$C$4</f>
        <v>900000</v>
      </c>
      <c r="H18" s="121">
        <f>F18/F21</f>
        <v>0.1</v>
      </c>
      <c r="I18" s="120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</row>
    <row r="19">
      <c r="A19" s="112"/>
      <c r="B19" s="112"/>
      <c r="C19" s="112"/>
      <c r="D19" s="112"/>
      <c r="E19" s="112"/>
      <c r="F19" s="117"/>
      <c r="G19" s="117"/>
      <c r="H19" s="112"/>
      <c r="I19" s="112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</row>
    <row r="20">
      <c r="A20" s="112"/>
      <c r="B20" s="112"/>
      <c r="C20" s="112"/>
      <c r="D20" s="112"/>
      <c r="E20" s="112"/>
      <c r="F20" s="124"/>
      <c r="G20" s="124"/>
      <c r="H20" s="112"/>
      <c r="I20" s="112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</row>
    <row r="21" ht="15.75" customHeight="1">
      <c r="A21" s="112"/>
      <c r="B21" s="112"/>
      <c r="C21" s="112"/>
      <c r="D21" s="112"/>
      <c r="E21" s="112" t="s">
        <v>459</v>
      </c>
      <c r="F21" s="125">
        <f t="shared" ref="F21:G21" si="6">SUM(F10:F19)</f>
        <v>6000</v>
      </c>
      <c r="G21" s="125">
        <f t="shared" si="6"/>
        <v>9000000</v>
      </c>
      <c r="H21" s="112"/>
      <c r="I21" s="112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</row>
    <row r="22" ht="15.75" customHeight="1">
      <c r="A22" s="112"/>
      <c r="B22" s="112"/>
      <c r="C22" s="112"/>
      <c r="D22" s="112"/>
      <c r="E22" s="112" t="s">
        <v>460</v>
      </c>
      <c r="F22" s="117">
        <f>F21/3</f>
        <v>2000</v>
      </c>
      <c r="G22" s="112"/>
      <c r="H22" s="112"/>
      <c r="I22" s="112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</row>
    <row r="23" ht="15.75" customHeight="1">
      <c r="A23" s="114"/>
      <c r="B23" s="114"/>
      <c r="C23" s="114"/>
      <c r="D23" s="114"/>
      <c r="E23" s="114" t="s">
        <v>461</v>
      </c>
      <c r="F23" s="126">
        <f>F21*4</f>
        <v>24000</v>
      </c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</row>
    <row r="24" ht="15.75" customHeight="1">
      <c r="A24" s="114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</row>
    <row r="25" ht="15.75" customHeight="1">
      <c r="A25" s="114"/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</row>
    <row r="26" ht="15.75" customHeight="1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ht="15.75" customHeight="1">
      <c r="A27" s="114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ht="15.75" customHeight="1">
      <c r="A28" s="114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</row>
    <row r="29" ht="15.75" customHeight="1">
      <c r="A29" s="114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</row>
    <row r="30" ht="15.75" customHeight="1">
      <c r="A30" s="114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</row>
    <row r="31" ht="15.75" customHeight="1">
      <c r="A31" s="114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</row>
    <row r="32" ht="15.75" customHeight="1">
      <c r="A32" s="114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</row>
    <row r="33" ht="15.75" customHeight="1">
      <c r="A33" s="114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</row>
    <row r="34" ht="15.75" customHeight="1">
      <c r="A34" s="114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 ht="15.75" customHeight="1">
      <c r="A35" s="114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ht="15.75" customHeight="1">
      <c r="A36" s="114"/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ht="15.75" customHeight="1">
      <c r="A37" s="114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</row>
    <row r="38" ht="15.75" customHeight="1">
      <c r="A38" s="114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</row>
    <row r="39" ht="15.75" customHeight="1">
      <c r="A39" s="114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</row>
    <row r="40" ht="15.75" customHeight="1">
      <c r="A40" s="114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</row>
    <row r="41" ht="15.75" customHeight="1">
      <c r="A41" s="114"/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</row>
    <row r="42" ht="15.75" customHeight="1">
      <c r="A42" s="114"/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</row>
    <row r="43" ht="15.75" customHeight="1">
      <c r="A43" s="114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</row>
    <row r="44" ht="15.75" customHeight="1">
      <c r="A44" s="114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</row>
    <row r="45" ht="15.75" customHeight="1">
      <c r="A45" s="114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</row>
    <row r="46" ht="15.75" customHeight="1">
      <c r="A46" s="114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</row>
    <row r="47" ht="15.75" customHeight="1">
      <c r="A47" s="114"/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</row>
    <row r="48" ht="15.75" customHeight="1">
      <c r="A48" s="114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</row>
    <row r="49" ht="15.75" customHeight="1">
      <c r="A49" s="114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</row>
    <row r="50" ht="15.75" customHeight="1">
      <c r="A50" s="114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</row>
    <row r="51" ht="15.75" customHeight="1">
      <c r="A51" s="114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</row>
    <row r="52" ht="15.75" customHeight="1">
      <c r="A52" s="114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</row>
    <row r="53" ht="15.75" customHeight="1">
      <c r="A53" s="11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</row>
    <row r="54" ht="15.75" customHeight="1">
      <c r="A54" s="11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</row>
    <row r="55" ht="15.75" customHeight="1">
      <c r="A55" s="11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</row>
    <row r="56" ht="15.75" customHeight="1">
      <c r="A56" s="114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</row>
    <row r="57" ht="15.75" customHeight="1">
      <c r="A57" s="11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</row>
    <row r="58" ht="15.75" customHeight="1">
      <c r="A58" s="11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  <c r="O58" s="114"/>
      <c r="P58" s="114"/>
      <c r="Q58" s="114"/>
      <c r="R58" s="114"/>
      <c r="S58" s="114"/>
      <c r="T58" s="114"/>
      <c r="U58" s="114"/>
      <c r="V58" s="114"/>
      <c r="W58" s="114"/>
      <c r="X58" s="114"/>
      <c r="Y58" s="114"/>
      <c r="Z58" s="114"/>
    </row>
    <row r="59" ht="15.75" customHeight="1">
      <c r="A59" s="11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  <c r="O59" s="114"/>
      <c r="P59" s="114"/>
      <c r="Q59" s="114"/>
      <c r="R59" s="114"/>
      <c r="S59" s="114"/>
      <c r="T59" s="114"/>
      <c r="U59" s="114"/>
      <c r="V59" s="114"/>
      <c r="W59" s="114"/>
      <c r="X59" s="114"/>
      <c r="Y59" s="114"/>
      <c r="Z59" s="114"/>
    </row>
    <row r="60" ht="15.75" customHeight="1">
      <c r="A60" s="114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</row>
    <row r="61" ht="15.75" customHeight="1">
      <c r="A61" s="11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4"/>
      <c r="R61" s="114"/>
      <c r="S61" s="114"/>
      <c r="T61" s="114"/>
      <c r="U61" s="114"/>
      <c r="V61" s="114"/>
      <c r="W61" s="114"/>
      <c r="X61" s="114"/>
      <c r="Y61" s="114"/>
      <c r="Z61" s="114"/>
    </row>
    <row r="62" ht="15.75" customHeight="1">
      <c r="A62" s="11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</row>
    <row r="63" ht="15.75" customHeight="1">
      <c r="A63" s="11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</row>
    <row r="64" ht="15.75" customHeight="1">
      <c r="A64" s="11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</row>
    <row r="65" ht="15.75" customHeight="1">
      <c r="A65" s="114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</row>
    <row r="66" ht="15.75" customHeight="1">
      <c r="A66" s="114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  <c r="O66" s="114"/>
      <c r="P66" s="114"/>
      <c r="Q66" s="114"/>
      <c r="R66" s="114"/>
      <c r="S66" s="114"/>
      <c r="T66" s="114"/>
      <c r="U66" s="114"/>
      <c r="V66" s="114"/>
      <c r="W66" s="114"/>
      <c r="X66" s="114"/>
      <c r="Y66" s="114"/>
      <c r="Z66" s="114"/>
    </row>
    <row r="67" ht="15.75" customHeight="1">
      <c r="A67" s="114"/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</row>
    <row r="68" ht="15.75" customHeight="1">
      <c r="A68" s="114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</row>
    <row r="69" ht="15.75" customHeight="1">
      <c r="A69" s="11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</row>
    <row r="70" ht="15.75" customHeight="1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</row>
    <row r="71" ht="15.75" customHeight="1">
      <c r="A71" s="114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4"/>
      <c r="X71" s="114"/>
      <c r="Y71" s="114"/>
      <c r="Z71" s="114"/>
    </row>
    <row r="72" ht="15.75" customHeight="1">
      <c r="A72" s="11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</row>
    <row r="73" ht="15.75" customHeight="1">
      <c r="A73" s="11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</row>
    <row r="74" ht="15.75" customHeight="1">
      <c r="A74" s="11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</row>
    <row r="75" ht="15.75" customHeight="1">
      <c r="A75" s="11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</row>
    <row r="76" ht="15.75" customHeight="1">
      <c r="A76" s="114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</row>
    <row r="77" ht="15.75" customHeight="1">
      <c r="A77" s="114"/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4"/>
      <c r="X77" s="114"/>
      <c r="Y77" s="114"/>
      <c r="Z77" s="114"/>
    </row>
    <row r="78" ht="15.75" customHeight="1">
      <c r="A78" s="114"/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4"/>
      <c r="X78" s="114"/>
      <c r="Y78" s="114"/>
      <c r="Z78" s="114"/>
    </row>
    <row r="79" ht="15.75" customHeight="1">
      <c r="A79" s="114"/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4"/>
      <c r="X79" s="114"/>
      <c r="Y79" s="114"/>
      <c r="Z79" s="114"/>
    </row>
    <row r="80" ht="15.75" customHeight="1">
      <c r="A80" s="114"/>
      <c r="B80" s="114"/>
      <c r="C80" s="114"/>
      <c r="D80" s="114"/>
      <c r="E80" s="114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4"/>
      <c r="X80" s="114"/>
      <c r="Y80" s="114"/>
      <c r="Z80" s="114"/>
    </row>
    <row r="81" ht="15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</row>
    <row r="82" ht="15.75" customHeight="1">
      <c r="A82" s="114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4"/>
      <c r="X82" s="114"/>
      <c r="Y82" s="114"/>
      <c r="Z82" s="114"/>
    </row>
    <row r="83" ht="15.75" customHeight="1">
      <c r="A83" s="114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4"/>
      <c r="X83" s="114"/>
      <c r="Y83" s="114"/>
      <c r="Z83" s="114"/>
    </row>
    <row r="84" ht="15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</row>
    <row r="85" ht="15.75" customHeight="1">
      <c r="A85" s="114"/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</row>
    <row r="86" ht="15.75" customHeight="1">
      <c r="A86" s="114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  <c r="O86" s="114"/>
      <c r="P86" s="114"/>
      <c r="Q86" s="114"/>
      <c r="R86" s="114"/>
      <c r="S86" s="114"/>
      <c r="T86" s="114"/>
      <c r="U86" s="114"/>
      <c r="V86" s="114"/>
      <c r="W86" s="114"/>
      <c r="X86" s="114"/>
      <c r="Y86" s="114"/>
      <c r="Z86" s="114"/>
    </row>
    <row r="87" ht="15.75" customHeight="1">
      <c r="A87" s="114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</row>
    <row r="88" ht="15.75" customHeight="1">
      <c r="A88" s="114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</row>
    <row r="89" ht="15.75" customHeight="1">
      <c r="A89" s="114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  <c r="O89" s="114"/>
      <c r="P89" s="114"/>
      <c r="Q89" s="114"/>
      <c r="R89" s="114"/>
      <c r="S89" s="114"/>
      <c r="T89" s="114"/>
      <c r="U89" s="114"/>
      <c r="V89" s="114"/>
      <c r="W89" s="114"/>
      <c r="X89" s="114"/>
      <c r="Y89" s="114"/>
      <c r="Z89" s="114"/>
    </row>
    <row r="90" ht="15.75" customHeight="1">
      <c r="A90" s="114"/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4"/>
      <c r="U90" s="114"/>
      <c r="V90" s="114"/>
      <c r="W90" s="114"/>
      <c r="X90" s="114"/>
      <c r="Y90" s="114"/>
      <c r="Z90" s="114"/>
    </row>
    <row r="91" ht="15.75" customHeight="1">
      <c r="A91" s="114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4"/>
      <c r="U91" s="114"/>
      <c r="V91" s="114"/>
      <c r="W91" s="114"/>
      <c r="X91" s="114"/>
      <c r="Y91" s="114"/>
      <c r="Z91" s="114"/>
    </row>
    <row r="92" ht="15.75" customHeight="1">
      <c r="A92" s="114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4"/>
      <c r="U92" s="114"/>
      <c r="V92" s="114"/>
      <c r="W92" s="114"/>
      <c r="X92" s="114"/>
      <c r="Y92" s="114"/>
      <c r="Z92" s="114"/>
    </row>
    <row r="93" ht="15.75" customHeight="1">
      <c r="A93" s="114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4"/>
      <c r="U93" s="114"/>
      <c r="V93" s="114"/>
      <c r="W93" s="114"/>
      <c r="X93" s="114"/>
      <c r="Y93" s="114"/>
      <c r="Z93" s="114"/>
    </row>
    <row r="94" ht="15.75" customHeight="1">
      <c r="A94" s="114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4"/>
      <c r="U94" s="114"/>
      <c r="V94" s="114"/>
      <c r="W94" s="114"/>
      <c r="X94" s="114"/>
      <c r="Y94" s="114"/>
      <c r="Z94" s="114"/>
    </row>
    <row r="95" ht="15.75" customHeight="1">
      <c r="A95" s="114"/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4"/>
      <c r="U95" s="114"/>
      <c r="V95" s="114"/>
      <c r="W95" s="114"/>
      <c r="X95" s="114"/>
      <c r="Y95" s="114"/>
      <c r="Z95" s="114"/>
    </row>
    <row r="96" ht="15.75" customHeight="1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/>
      <c r="X96" s="114"/>
      <c r="Y96" s="114"/>
      <c r="Z96" s="114"/>
    </row>
    <row r="97" ht="15.75" customHeight="1">
      <c r="A97" s="114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4"/>
      <c r="U97" s="114"/>
      <c r="V97" s="114"/>
      <c r="W97" s="114"/>
      <c r="X97" s="114"/>
      <c r="Y97" s="114"/>
      <c r="Z97" s="114"/>
    </row>
    <row r="98" ht="15.75" customHeight="1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14"/>
      <c r="Y98" s="114"/>
      <c r="Z98" s="114"/>
    </row>
    <row r="99" ht="15.75" customHeight="1">
      <c r="A99" s="114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Z99" s="114"/>
    </row>
    <row r="100" ht="15.75" customHeight="1">
      <c r="A100" s="114"/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4"/>
      <c r="U100" s="114"/>
      <c r="V100" s="114"/>
      <c r="W100" s="114"/>
      <c r="X100" s="114"/>
      <c r="Y100" s="114"/>
      <c r="Z100" s="114"/>
    </row>
    <row r="101" ht="15.75" customHeight="1">
      <c r="A101" s="114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4"/>
      <c r="U101" s="114"/>
      <c r="V101" s="114"/>
      <c r="W101" s="114"/>
      <c r="X101" s="114"/>
      <c r="Y101" s="114"/>
      <c r="Z101" s="114"/>
    </row>
    <row r="102" ht="15.75" customHeight="1">
      <c r="A102" s="114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4"/>
      <c r="U102" s="114"/>
      <c r="V102" s="114"/>
      <c r="W102" s="114"/>
      <c r="X102" s="114"/>
      <c r="Y102" s="114"/>
      <c r="Z102" s="114"/>
    </row>
    <row r="103" ht="15.75" customHeight="1">
      <c r="A103" s="114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4"/>
      <c r="U103" s="114"/>
      <c r="V103" s="114"/>
      <c r="W103" s="114"/>
      <c r="X103" s="114"/>
      <c r="Y103" s="114"/>
      <c r="Z103" s="114"/>
    </row>
    <row r="104" ht="15.75" customHeight="1">
      <c r="A104" s="114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4"/>
      <c r="U104" s="114"/>
      <c r="V104" s="114"/>
      <c r="W104" s="114"/>
      <c r="X104" s="114"/>
      <c r="Y104" s="114"/>
      <c r="Z104" s="114"/>
    </row>
    <row r="105" ht="15.75" customHeight="1">
      <c r="A105" s="114"/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4"/>
      <c r="U105" s="114"/>
      <c r="V105" s="114"/>
      <c r="W105" s="114"/>
      <c r="X105" s="114"/>
      <c r="Y105" s="114"/>
      <c r="Z105" s="114"/>
    </row>
    <row r="106" ht="15.75" customHeight="1">
      <c r="A106" s="114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4"/>
      <c r="U106" s="114"/>
      <c r="V106" s="114"/>
      <c r="W106" s="114"/>
      <c r="X106" s="114"/>
      <c r="Y106" s="114"/>
      <c r="Z106" s="114"/>
    </row>
    <row r="107" ht="15.75" customHeight="1">
      <c r="A107" s="114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4"/>
      <c r="U107" s="114"/>
      <c r="V107" s="114"/>
      <c r="W107" s="114"/>
      <c r="X107" s="114"/>
      <c r="Y107" s="114"/>
      <c r="Z107" s="114"/>
    </row>
    <row r="108" ht="15.75" customHeight="1">
      <c r="A108" s="114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4"/>
      <c r="U108" s="114"/>
      <c r="V108" s="114"/>
      <c r="W108" s="114"/>
      <c r="X108" s="114"/>
      <c r="Y108" s="114"/>
      <c r="Z108" s="114"/>
    </row>
    <row r="109" ht="15.75" customHeight="1">
      <c r="A109" s="114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4"/>
      <c r="U109" s="114"/>
      <c r="V109" s="114"/>
      <c r="W109" s="114"/>
      <c r="X109" s="114"/>
      <c r="Y109" s="114"/>
      <c r="Z109" s="114"/>
    </row>
    <row r="110" ht="15.75" customHeight="1">
      <c r="A110" s="114"/>
      <c r="B110" s="114"/>
      <c r="C110" s="114"/>
      <c r="D110" s="114"/>
      <c r="E110" s="114"/>
      <c r="F110" s="114"/>
      <c r="G110" s="114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4"/>
      <c r="U110" s="114"/>
      <c r="V110" s="114"/>
      <c r="W110" s="114"/>
      <c r="X110" s="114"/>
      <c r="Y110" s="114"/>
      <c r="Z110" s="114"/>
    </row>
    <row r="111" ht="15.75" customHeight="1">
      <c r="A111" s="114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4"/>
      <c r="U111" s="114"/>
      <c r="V111" s="114"/>
      <c r="W111" s="114"/>
      <c r="X111" s="114"/>
      <c r="Y111" s="114"/>
      <c r="Z111" s="114"/>
    </row>
    <row r="112" ht="15.75" customHeight="1">
      <c r="A112" s="114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4"/>
      <c r="U112" s="114"/>
      <c r="V112" s="114"/>
      <c r="W112" s="114"/>
      <c r="X112" s="114"/>
      <c r="Y112" s="114"/>
      <c r="Z112" s="114"/>
    </row>
    <row r="113" ht="15.75" customHeight="1">
      <c r="A113" s="114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4"/>
      <c r="U113" s="114"/>
      <c r="V113" s="114"/>
      <c r="W113" s="114"/>
      <c r="X113" s="114"/>
      <c r="Y113" s="114"/>
      <c r="Z113" s="114"/>
    </row>
    <row r="114" ht="15.75" customHeight="1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14"/>
      <c r="Y114" s="114"/>
      <c r="Z114" s="114"/>
    </row>
    <row r="115" ht="15.75" customHeight="1">
      <c r="A115" s="114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4"/>
      <c r="U115" s="114"/>
      <c r="V115" s="114"/>
      <c r="W115" s="114"/>
      <c r="X115" s="114"/>
      <c r="Y115" s="114"/>
      <c r="Z115" s="114"/>
    </row>
    <row r="116" ht="15.75" customHeight="1">
      <c r="A116" s="114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4"/>
      <c r="U116" s="114"/>
      <c r="V116" s="114"/>
      <c r="W116" s="114"/>
      <c r="X116" s="114"/>
      <c r="Y116" s="114"/>
      <c r="Z116" s="114"/>
    </row>
    <row r="117" ht="15.75" customHeight="1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14"/>
      <c r="Y117" s="114"/>
      <c r="Z117" s="114"/>
    </row>
    <row r="118" ht="15.75" customHeight="1">
      <c r="A118" s="114"/>
      <c r="B118" s="114"/>
      <c r="C118" s="114"/>
      <c r="D118" s="114"/>
      <c r="E118" s="114"/>
      <c r="F118" s="114"/>
      <c r="G118" s="114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4"/>
      <c r="U118" s="114"/>
      <c r="V118" s="114"/>
      <c r="W118" s="114"/>
      <c r="X118" s="114"/>
      <c r="Y118" s="114"/>
      <c r="Z118" s="114"/>
    </row>
    <row r="119" ht="15.75" customHeight="1">
      <c r="A119" s="114"/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Z119" s="114"/>
    </row>
    <row r="120" ht="15.75" customHeight="1">
      <c r="A120" s="114"/>
      <c r="B120" s="114"/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4"/>
      <c r="U120" s="114"/>
      <c r="V120" s="114"/>
      <c r="W120" s="114"/>
      <c r="X120" s="114"/>
      <c r="Y120" s="114"/>
      <c r="Z120" s="114"/>
    </row>
    <row r="121" ht="15.75" customHeight="1">
      <c r="A121" s="114"/>
      <c r="B121" s="114"/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4"/>
      <c r="U121" s="114"/>
      <c r="V121" s="114"/>
      <c r="W121" s="114"/>
      <c r="X121" s="114"/>
      <c r="Y121" s="114"/>
      <c r="Z121" s="114"/>
    </row>
    <row r="122" ht="15.75" customHeight="1">
      <c r="A122" s="114"/>
      <c r="B122" s="114"/>
      <c r="C122" s="114"/>
      <c r="D122" s="114"/>
      <c r="E122" s="114"/>
      <c r="F122" s="114"/>
      <c r="G122" s="114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4"/>
      <c r="U122" s="114"/>
      <c r="V122" s="114"/>
      <c r="W122" s="114"/>
      <c r="X122" s="114"/>
      <c r="Y122" s="114"/>
      <c r="Z122" s="114"/>
    </row>
    <row r="123" ht="15.75" customHeight="1">
      <c r="A123" s="114"/>
      <c r="B123" s="114"/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4"/>
      <c r="U123" s="114"/>
      <c r="V123" s="114"/>
      <c r="W123" s="114"/>
      <c r="X123" s="114"/>
      <c r="Y123" s="114"/>
      <c r="Z123" s="114"/>
    </row>
    <row r="124" ht="15.75" customHeight="1">
      <c r="A124" s="114"/>
      <c r="B124" s="114"/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4"/>
      <c r="U124" s="114"/>
      <c r="V124" s="114"/>
      <c r="W124" s="114"/>
      <c r="X124" s="114"/>
      <c r="Y124" s="114"/>
      <c r="Z124" s="114"/>
    </row>
    <row r="125" ht="15.75" customHeight="1">
      <c r="A125" s="114"/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</row>
    <row r="126" ht="15.75" customHeight="1">
      <c r="A126" s="114"/>
      <c r="B126" s="114"/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4"/>
      <c r="U126" s="114"/>
      <c r="V126" s="114"/>
      <c r="W126" s="114"/>
      <c r="X126" s="114"/>
      <c r="Y126" s="114"/>
      <c r="Z126" s="114"/>
    </row>
    <row r="127" ht="15.75" customHeight="1">
      <c r="A127" s="114"/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4"/>
      <c r="U127" s="114"/>
      <c r="V127" s="114"/>
      <c r="W127" s="114"/>
      <c r="X127" s="114"/>
      <c r="Y127" s="114"/>
      <c r="Z127" s="114"/>
    </row>
    <row r="128" ht="15.75" customHeight="1">
      <c r="A128" s="114"/>
      <c r="B128" s="114"/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4"/>
      <c r="U128" s="114"/>
      <c r="V128" s="114"/>
      <c r="W128" s="114"/>
      <c r="X128" s="114"/>
      <c r="Y128" s="114"/>
      <c r="Z128" s="114"/>
    </row>
    <row r="129" ht="15.75" customHeight="1">
      <c r="A129" s="114"/>
      <c r="B129" s="114"/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4"/>
      <c r="U129" s="114"/>
      <c r="V129" s="114"/>
      <c r="W129" s="114"/>
      <c r="X129" s="114"/>
      <c r="Y129" s="114"/>
      <c r="Z129" s="114"/>
    </row>
    <row r="130" ht="15.75" customHeight="1">
      <c r="A130" s="114"/>
      <c r="B130" s="114"/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4"/>
      <c r="U130" s="114"/>
      <c r="V130" s="114"/>
      <c r="W130" s="114"/>
      <c r="X130" s="114"/>
      <c r="Y130" s="114"/>
      <c r="Z130" s="114"/>
    </row>
    <row r="131" ht="15.75" customHeight="1">
      <c r="A131" s="114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4"/>
      <c r="U131" s="114"/>
      <c r="V131" s="114"/>
      <c r="W131" s="114"/>
      <c r="X131" s="114"/>
      <c r="Y131" s="114"/>
      <c r="Z131" s="114"/>
    </row>
    <row r="132" ht="15.75" customHeight="1">
      <c r="A132" s="114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4"/>
      <c r="U132" s="114"/>
      <c r="V132" s="114"/>
      <c r="W132" s="114"/>
      <c r="X132" s="114"/>
      <c r="Y132" s="114"/>
      <c r="Z132" s="114"/>
    </row>
    <row r="133" ht="15.75" customHeight="1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</row>
    <row r="134" ht="15.75" customHeight="1">
      <c r="A134" s="114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4"/>
      <c r="V134" s="114"/>
      <c r="W134" s="114"/>
      <c r="X134" s="114"/>
      <c r="Y134" s="114"/>
      <c r="Z134" s="114"/>
    </row>
    <row r="135" ht="15.75" customHeight="1">
      <c r="A135" s="114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  <row r="136" ht="15.75" customHeight="1">
      <c r="A136" s="114"/>
      <c r="B136" s="114"/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4"/>
      <c r="U136" s="114"/>
      <c r="V136" s="114"/>
      <c r="W136" s="114"/>
      <c r="X136" s="114"/>
      <c r="Y136" s="114"/>
      <c r="Z136" s="114"/>
    </row>
    <row r="137" ht="15.75" customHeight="1">
      <c r="A137" s="114"/>
      <c r="B137" s="114"/>
      <c r="C137" s="114"/>
      <c r="D137" s="1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4"/>
      <c r="U137" s="114"/>
      <c r="V137" s="114"/>
      <c r="W137" s="114"/>
      <c r="X137" s="114"/>
      <c r="Y137" s="114"/>
      <c r="Z137" s="114"/>
    </row>
    <row r="138" ht="15.75" customHeight="1">
      <c r="A138" s="114"/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Z138" s="114"/>
    </row>
    <row r="139" ht="15.75" customHeight="1">
      <c r="A139" s="114"/>
      <c r="B139" s="114"/>
      <c r="C139" s="114"/>
      <c r="D139" s="1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4"/>
      <c r="U139" s="114"/>
      <c r="V139" s="114"/>
      <c r="W139" s="114"/>
      <c r="X139" s="114"/>
      <c r="Y139" s="114"/>
      <c r="Z139" s="114"/>
    </row>
    <row r="140" ht="15.75" customHeight="1">
      <c r="A140" s="114"/>
      <c r="B140" s="114"/>
      <c r="C140" s="114"/>
      <c r="D140" s="1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4"/>
      <c r="U140" s="114"/>
      <c r="V140" s="114"/>
      <c r="W140" s="114"/>
      <c r="X140" s="114"/>
      <c r="Y140" s="114"/>
      <c r="Z140" s="114"/>
    </row>
    <row r="141" ht="15.75" customHeight="1">
      <c r="A141" s="114"/>
      <c r="B141" s="114"/>
      <c r="C141" s="114"/>
      <c r="D141" s="1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4"/>
      <c r="U141" s="114"/>
      <c r="V141" s="114"/>
      <c r="W141" s="114"/>
      <c r="X141" s="114"/>
      <c r="Y141" s="114"/>
      <c r="Z141" s="114"/>
    </row>
    <row r="142" ht="15.75" customHeight="1">
      <c r="A142" s="114"/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4"/>
      <c r="U142" s="114"/>
      <c r="V142" s="114"/>
      <c r="W142" s="114"/>
      <c r="X142" s="114"/>
      <c r="Y142" s="114"/>
      <c r="Z142" s="114"/>
    </row>
    <row r="143" ht="15.75" customHeight="1">
      <c r="A143" s="114"/>
      <c r="B143" s="114"/>
      <c r="C143" s="114"/>
      <c r="D143" s="114"/>
      <c r="E143" s="114"/>
      <c r="F143" s="114"/>
      <c r="G143" s="114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4"/>
      <c r="U143" s="114"/>
      <c r="V143" s="114"/>
      <c r="W143" s="114"/>
      <c r="X143" s="114"/>
      <c r="Y143" s="114"/>
      <c r="Z143" s="114"/>
    </row>
    <row r="144" ht="15.75" customHeight="1">
      <c r="A144" s="114"/>
      <c r="B144" s="114"/>
      <c r="C144" s="114"/>
      <c r="D144" s="114"/>
      <c r="E144" s="114"/>
      <c r="F144" s="114"/>
      <c r="G144" s="114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4"/>
      <c r="U144" s="114"/>
      <c r="V144" s="114"/>
      <c r="W144" s="114"/>
      <c r="X144" s="114"/>
      <c r="Y144" s="114"/>
      <c r="Z144" s="114"/>
    </row>
    <row r="145" ht="15.75" customHeight="1">
      <c r="A145" s="114"/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4"/>
      <c r="U145" s="114"/>
      <c r="V145" s="114"/>
      <c r="W145" s="114"/>
      <c r="X145" s="114"/>
      <c r="Y145" s="114"/>
      <c r="Z145" s="114"/>
    </row>
    <row r="146" ht="15.75" customHeight="1">
      <c r="A146" s="114"/>
      <c r="B146" s="114"/>
      <c r="C146" s="114"/>
      <c r="D146" s="114"/>
      <c r="E146" s="114"/>
      <c r="F146" s="114"/>
      <c r="G146" s="114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4"/>
      <c r="U146" s="114"/>
      <c r="V146" s="114"/>
      <c r="W146" s="114"/>
      <c r="X146" s="114"/>
      <c r="Y146" s="114"/>
      <c r="Z146" s="114"/>
    </row>
    <row r="147" ht="15.75" customHeight="1">
      <c r="A147" s="114"/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4"/>
      <c r="U147" s="114"/>
      <c r="V147" s="114"/>
      <c r="W147" s="114"/>
      <c r="X147" s="114"/>
      <c r="Y147" s="114"/>
      <c r="Z147" s="114"/>
    </row>
    <row r="148" ht="15.75" customHeight="1">
      <c r="A148" s="114"/>
      <c r="B148" s="114"/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4"/>
      <c r="U148" s="114"/>
      <c r="V148" s="114"/>
      <c r="W148" s="114"/>
      <c r="X148" s="114"/>
      <c r="Y148" s="114"/>
      <c r="Z148" s="114"/>
    </row>
    <row r="149" ht="15.75" customHeight="1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4"/>
      <c r="U149" s="114"/>
      <c r="V149" s="114"/>
      <c r="W149" s="114"/>
      <c r="X149" s="114"/>
      <c r="Y149" s="114"/>
      <c r="Z149" s="114"/>
    </row>
    <row r="150" ht="15.75" customHeight="1">
      <c r="A150" s="114"/>
      <c r="B150" s="114"/>
      <c r="C150" s="114"/>
      <c r="D150" s="114"/>
      <c r="E150" s="114"/>
      <c r="F150" s="114"/>
      <c r="G150" s="114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4"/>
      <c r="U150" s="114"/>
      <c r="V150" s="114"/>
      <c r="W150" s="114"/>
      <c r="X150" s="114"/>
      <c r="Y150" s="114"/>
      <c r="Z150" s="114"/>
    </row>
    <row r="151" ht="15.75" customHeight="1">
      <c r="A151" s="114"/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4"/>
      <c r="U151" s="114"/>
      <c r="V151" s="114"/>
      <c r="W151" s="114"/>
      <c r="X151" s="114"/>
      <c r="Y151" s="114"/>
      <c r="Z151" s="114"/>
    </row>
    <row r="152" ht="15.75" customHeight="1">
      <c r="A152" s="114"/>
      <c r="B152" s="114"/>
      <c r="C152" s="114"/>
      <c r="D152" s="114"/>
      <c r="E152" s="114"/>
      <c r="F152" s="114"/>
      <c r="G152" s="114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4"/>
      <c r="U152" s="114"/>
      <c r="V152" s="114"/>
      <c r="W152" s="114"/>
      <c r="X152" s="114"/>
      <c r="Y152" s="114"/>
      <c r="Z152" s="114"/>
    </row>
    <row r="153" ht="15.75" customHeight="1">
      <c r="A153" s="114"/>
      <c r="B153" s="114"/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4"/>
      <c r="U153" s="114"/>
      <c r="V153" s="114"/>
      <c r="W153" s="114"/>
      <c r="X153" s="114"/>
      <c r="Y153" s="114"/>
      <c r="Z153" s="114"/>
    </row>
    <row r="154" ht="15.75" customHeight="1">
      <c r="A154" s="114"/>
      <c r="B154" s="114"/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4"/>
      <c r="U154" s="114"/>
      <c r="V154" s="114"/>
      <c r="W154" s="114"/>
      <c r="X154" s="114"/>
      <c r="Y154" s="114"/>
      <c r="Z154" s="114"/>
    </row>
    <row r="155" ht="15.75" customHeight="1">
      <c r="A155" s="114"/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4"/>
      <c r="U155" s="114"/>
      <c r="V155" s="114"/>
      <c r="W155" s="114"/>
      <c r="X155" s="114"/>
      <c r="Y155" s="114"/>
      <c r="Z155" s="114"/>
    </row>
    <row r="156" ht="15.75" customHeight="1">
      <c r="A156" s="114"/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Z156" s="114"/>
    </row>
    <row r="157" ht="15.75" customHeight="1">
      <c r="A157" s="114"/>
      <c r="B157" s="114"/>
      <c r="C157" s="114"/>
      <c r="D157" s="114"/>
      <c r="E157" s="114"/>
      <c r="F157" s="114"/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4"/>
      <c r="U157" s="114"/>
      <c r="V157" s="114"/>
      <c r="W157" s="114"/>
      <c r="X157" s="114"/>
      <c r="Y157" s="114"/>
      <c r="Z157" s="114"/>
    </row>
    <row r="158" ht="15.75" customHeight="1">
      <c r="A158" s="114"/>
      <c r="B158" s="114"/>
      <c r="C158" s="114"/>
      <c r="D158" s="114"/>
      <c r="E158" s="114"/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4"/>
      <c r="U158" s="114"/>
      <c r="V158" s="114"/>
      <c r="W158" s="114"/>
      <c r="X158" s="114"/>
      <c r="Y158" s="114"/>
      <c r="Z158" s="114"/>
    </row>
    <row r="159" ht="15.75" customHeight="1">
      <c r="A159" s="114"/>
      <c r="B159" s="114"/>
      <c r="C159" s="114"/>
      <c r="D159" s="114"/>
      <c r="E159" s="114"/>
      <c r="F159" s="114"/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4"/>
      <c r="U159" s="114"/>
      <c r="V159" s="114"/>
      <c r="W159" s="114"/>
      <c r="X159" s="114"/>
      <c r="Y159" s="114"/>
      <c r="Z159" s="114"/>
    </row>
    <row r="160" ht="15.75" customHeight="1">
      <c r="A160" s="114"/>
      <c r="B160" s="114"/>
      <c r="C160" s="114"/>
      <c r="D160" s="114"/>
      <c r="E160" s="114"/>
      <c r="F160" s="114"/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4"/>
      <c r="U160" s="114"/>
      <c r="V160" s="114"/>
      <c r="W160" s="114"/>
      <c r="X160" s="114"/>
      <c r="Y160" s="114"/>
      <c r="Z160" s="114"/>
    </row>
    <row r="161" ht="15.75" customHeight="1">
      <c r="A161" s="114"/>
      <c r="B161" s="114"/>
      <c r="C161" s="114"/>
      <c r="D161" s="1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4"/>
      <c r="U161" s="114"/>
      <c r="V161" s="114"/>
      <c r="W161" s="114"/>
      <c r="X161" s="114"/>
      <c r="Y161" s="114"/>
      <c r="Z161" s="114"/>
    </row>
    <row r="162" ht="15.75" customHeight="1">
      <c r="A162" s="114"/>
      <c r="B162" s="114"/>
      <c r="C162" s="114"/>
      <c r="D162" s="114"/>
      <c r="E162" s="114"/>
      <c r="F162" s="114"/>
      <c r="G162" s="114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4"/>
      <c r="U162" s="114"/>
      <c r="V162" s="114"/>
      <c r="W162" s="114"/>
      <c r="X162" s="114"/>
      <c r="Y162" s="114"/>
      <c r="Z162" s="114"/>
    </row>
    <row r="163" ht="15.75" customHeight="1">
      <c r="A163" s="114"/>
      <c r="B163" s="114"/>
      <c r="C163" s="114"/>
      <c r="D163" s="114"/>
      <c r="E163" s="114"/>
      <c r="F163" s="114"/>
      <c r="G163" s="114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4"/>
      <c r="U163" s="114"/>
      <c r="V163" s="114"/>
      <c r="W163" s="114"/>
      <c r="X163" s="114"/>
      <c r="Y163" s="114"/>
      <c r="Z163" s="114"/>
    </row>
    <row r="164" ht="15.75" customHeight="1">
      <c r="A164" s="114"/>
      <c r="B164" s="114"/>
      <c r="C164" s="114"/>
      <c r="D164" s="114"/>
      <c r="E164" s="114"/>
      <c r="F164" s="114"/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4"/>
      <c r="U164" s="114"/>
      <c r="V164" s="114"/>
      <c r="W164" s="114"/>
      <c r="X164" s="114"/>
      <c r="Y164" s="114"/>
      <c r="Z164" s="114"/>
    </row>
    <row r="165" ht="15.75" customHeight="1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</row>
    <row r="166" ht="15.75" customHeight="1">
      <c r="A166" s="114"/>
      <c r="B166" s="114"/>
      <c r="C166" s="114"/>
      <c r="D166" s="114"/>
      <c r="E166" s="114"/>
      <c r="F166" s="114"/>
      <c r="G166" s="114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</row>
    <row r="167" ht="15.75" customHeight="1">
      <c r="A167" s="114"/>
      <c r="B167" s="114"/>
      <c r="C167" s="114"/>
      <c r="D167" s="114"/>
      <c r="E167" s="114"/>
      <c r="F167" s="114"/>
      <c r="G167" s="114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4"/>
      <c r="U167" s="114"/>
      <c r="V167" s="114"/>
      <c r="W167" s="114"/>
      <c r="X167" s="114"/>
      <c r="Y167" s="114"/>
      <c r="Z167" s="114"/>
    </row>
    <row r="168" ht="15.75" customHeight="1">
      <c r="A168" s="114"/>
      <c r="B168" s="114"/>
      <c r="C168" s="114"/>
      <c r="D168" s="1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</row>
    <row r="169" ht="15.75" customHeight="1">
      <c r="A169" s="114"/>
      <c r="B169" s="114"/>
      <c r="C169" s="114"/>
      <c r="D169" s="114"/>
      <c r="E169" s="114"/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4"/>
      <c r="U169" s="114"/>
      <c r="V169" s="114"/>
      <c r="W169" s="114"/>
      <c r="X169" s="114"/>
      <c r="Y169" s="114"/>
      <c r="Z169" s="114"/>
    </row>
    <row r="170" ht="15.75" customHeight="1">
      <c r="A170" s="114"/>
      <c r="B170" s="114"/>
      <c r="C170" s="114"/>
      <c r="D170" s="1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4"/>
      <c r="U170" s="114"/>
      <c r="V170" s="114"/>
      <c r="W170" s="114"/>
      <c r="X170" s="114"/>
      <c r="Y170" s="114"/>
      <c r="Z170" s="114"/>
    </row>
    <row r="171" ht="15.75" customHeight="1">
      <c r="A171" s="114"/>
      <c r="B171" s="114"/>
      <c r="C171" s="114"/>
      <c r="D171" s="114"/>
      <c r="E171" s="114"/>
      <c r="F171" s="114"/>
      <c r="G171" s="114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4"/>
      <c r="U171" s="114"/>
      <c r="V171" s="114"/>
      <c r="W171" s="114"/>
      <c r="X171" s="114"/>
      <c r="Y171" s="114"/>
      <c r="Z171" s="114"/>
    </row>
    <row r="172" ht="15.75" customHeight="1">
      <c r="A172" s="114"/>
      <c r="B172" s="114"/>
      <c r="C172" s="114"/>
      <c r="D172" s="114"/>
      <c r="E172" s="114"/>
      <c r="F172" s="114"/>
      <c r="G172" s="114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4"/>
      <c r="U172" s="114"/>
      <c r="V172" s="114"/>
      <c r="W172" s="114"/>
      <c r="X172" s="114"/>
      <c r="Y172" s="114"/>
      <c r="Z172" s="114"/>
    </row>
    <row r="173" ht="15.75" customHeight="1">
      <c r="A173" s="114"/>
      <c r="B173" s="114"/>
      <c r="C173" s="114"/>
      <c r="D173" s="114"/>
      <c r="E173" s="114"/>
      <c r="F173" s="114"/>
      <c r="G173" s="114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4"/>
      <c r="U173" s="114"/>
      <c r="V173" s="114"/>
      <c r="W173" s="114"/>
      <c r="X173" s="114"/>
      <c r="Y173" s="114"/>
      <c r="Z173" s="114"/>
    </row>
    <row r="174" ht="15.75" customHeight="1">
      <c r="A174" s="114"/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Z174" s="114"/>
    </row>
    <row r="175" ht="15.75" customHeight="1">
      <c r="A175" s="114"/>
      <c r="B175" s="114"/>
      <c r="C175" s="114"/>
      <c r="D175" s="114"/>
      <c r="E175" s="114"/>
      <c r="F175" s="114"/>
      <c r="G175" s="114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4"/>
      <c r="U175" s="114"/>
      <c r="V175" s="114"/>
      <c r="W175" s="114"/>
      <c r="X175" s="114"/>
      <c r="Y175" s="114"/>
      <c r="Z175" s="114"/>
    </row>
    <row r="176" ht="15.75" customHeight="1">
      <c r="A176" s="114"/>
      <c r="B176" s="114"/>
      <c r="C176" s="114"/>
      <c r="D176" s="114"/>
      <c r="E176" s="114"/>
      <c r="F176" s="114"/>
      <c r="G176" s="114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4"/>
      <c r="U176" s="114"/>
      <c r="V176" s="114"/>
      <c r="W176" s="114"/>
      <c r="X176" s="114"/>
      <c r="Y176" s="114"/>
      <c r="Z176" s="114"/>
    </row>
    <row r="177" ht="15.75" customHeight="1">
      <c r="A177" s="114"/>
      <c r="B177" s="114"/>
      <c r="C177" s="114"/>
      <c r="D177" s="114"/>
      <c r="E177" s="114"/>
      <c r="F177" s="114"/>
      <c r="G177" s="114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4"/>
      <c r="U177" s="114"/>
      <c r="V177" s="114"/>
      <c r="W177" s="114"/>
      <c r="X177" s="114"/>
      <c r="Y177" s="114"/>
      <c r="Z177" s="114"/>
    </row>
    <row r="178" ht="15.75" customHeight="1">
      <c r="A178" s="114"/>
      <c r="B178" s="114"/>
      <c r="C178" s="114"/>
      <c r="D178" s="114"/>
      <c r="E178" s="114"/>
      <c r="F178" s="114"/>
      <c r="G178" s="114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4"/>
      <c r="U178" s="114"/>
      <c r="V178" s="114"/>
      <c r="W178" s="114"/>
      <c r="X178" s="114"/>
      <c r="Y178" s="114"/>
      <c r="Z178" s="114"/>
    </row>
    <row r="179" ht="15.75" customHeight="1">
      <c r="A179" s="114"/>
      <c r="B179" s="114"/>
      <c r="C179" s="114"/>
      <c r="D179" s="114"/>
      <c r="E179" s="114"/>
      <c r="F179" s="114"/>
      <c r="G179" s="114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4"/>
      <c r="U179" s="114"/>
      <c r="V179" s="114"/>
      <c r="W179" s="114"/>
      <c r="X179" s="114"/>
      <c r="Y179" s="114"/>
      <c r="Z179" s="114"/>
    </row>
    <row r="180" ht="15.75" customHeight="1">
      <c r="A180" s="114"/>
      <c r="B180" s="114"/>
      <c r="C180" s="114"/>
      <c r="D180" s="114"/>
      <c r="E180" s="114"/>
      <c r="F180" s="114"/>
      <c r="G180" s="114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4"/>
      <c r="U180" s="114"/>
      <c r="V180" s="114"/>
      <c r="W180" s="114"/>
      <c r="X180" s="114"/>
      <c r="Y180" s="114"/>
      <c r="Z180" s="114"/>
    </row>
    <row r="181" ht="15.75" customHeight="1">
      <c r="A181" s="114"/>
      <c r="B181" s="114"/>
      <c r="C181" s="114"/>
      <c r="D181" s="114"/>
      <c r="E181" s="114"/>
      <c r="F181" s="114"/>
      <c r="G181" s="114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4"/>
      <c r="U181" s="114"/>
      <c r="V181" s="114"/>
      <c r="W181" s="114"/>
      <c r="X181" s="114"/>
      <c r="Y181" s="114"/>
      <c r="Z181" s="114"/>
    </row>
    <row r="182" ht="15.75" customHeight="1">
      <c r="A182" s="114"/>
      <c r="B182" s="114"/>
      <c r="C182" s="114"/>
      <c r="D182" s="114"/>
      <c r="E182" s="114"/>
      <c r="F182" s="114"/>
      <c r="G182" s="114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4"/>
      <c r="U182" s="114"/>
      <c r="V182" s="114"/>
      <c r="W182" s="114"/>
      <c r="X182" s="114"/>
      <c r="Y182" s="114"/>
      <c r="Z182" s="114"/>
    </row>
    <row r="183" ht="15.75" customHeight="1">
      <c r="A183" s="114"/>
      <c r="B183" s="114"/>
      <c r="C183" s="114"/>
      <c r="D183" s="114"/>
      <c r="E183" s="114"/>
      <c r="F183" s="114"/>
      <c r="G183" s="114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4"/>
      <c r="U183" s="114"/>
      <c r="V183" s="114"/>
      <c r="W183" s="114"/>
      <c r="X183" s="114"/>
      <c r="Y183" s="114"/>
      <c r="Z183" s="114"/>
    </row>
    <row r="184" ht="15.75" customHeight="1">
      <c r="A184" s="114"/>
      <c r="B184" s="114"/>
      <c r="C184" s="114"/>
      <c r="D184" s="114"/>
      <c r="E184" s="114"/>
      <c r="F184" s="114"/>
      <c r="G184" s="114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4"/>
      <c r="U184" s="114"/>
      <c r="V184" s="114"/>
      <c r="W184" s="114"/>
      <c r="X184" s="114"/>
      <c r="Y184" s="114"/>
      <c r="Z184" s="114"/>
    </row>
    <row r="185" ht="15.75" customHeight="1">
      <c r="A185" s="114"/>
      <c r="B185" s="114"/>
      <c r="C185" s="114"/>
      <c r="D185" s="114"/>
      <c r="E185" s="114"/>
      <c r="F185" s="114"/>
      <c r="G185" s="114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4"/>
      <c r="U185" s="114"/>
      <c r="V185" s="114"/>
      <c r="W185" s="114"/>
      <c r="X185" s="114"/>
      <c r="Y185" s="114"/>
      <c r="Z185" s="114"/>
    </row>
    <row r="186" ht="15.75" customHeight="1">
      <c r="A186" s="114"/>
      <c r="B186" s="114"/>
      <c r="C186" s="114"/>
      <c r="D186" s="114"/>
      <c r="E186" s="114"/>
      <c r="F186" s="114"/>
      <c r="G186" s="114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4"/>
      <c r="U186" s="114"/>
      <c r="V186" s="114"/>
      <c r="W186" s="114"/>
      <c r="X186" s="114"/>
      <c r="Y186" s="114"/>
      <c r="Z186" s="114"/>
    </row>
    <row r="187" ht="15.75" customHeight="1">
      <c r="A187" s="114"/>
      <c r="B187" s="114"/>
      <c r="C187" s="114"/>
      <c r="D187" s="114"/>
      <c r="E187" s="114"/>
      <c r="F187" s="114"/>
      <c r="G187" s="114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4"/>
      <c r="U187" s="114"/>
      <c r="V187" s="114"/>
      <c r="W187" s="114"/>
      <c r="X187" s="114"/>
      <c r="Y187" s="114"/>
      <c r="Z187" s="114"/>
    </row>
    <row r="188" ht="15.75" customHeight="1">
      <c r="A188" s="114"/>
      <c r="B188" s="114"/>
      <c r="C188" s="114"/>
      <c r="D188" s="114"/>
      <c r="E188" s="114"/>
      <c r="F188" s="114"/>
      <c r="G188" s="114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4"/>
      <c r="U188" s="114"/>
      <c r="V188" s="114"/>
      <c r="W188" s="114"/>
      <c r="X188" s="114"/>
      <c r="Y188" s="114"/>
      <c r="Z188" s="114"/>
    </row>
    <row r="189" ht="15.75" customHeight="1">
      <c r="A189" s="114"/>
      <c r="B189" s="114"/>
      <c r="C189" s="114"/>
      <c r="D189" s="114"/>
      <c r="E189" s="114"/>
      <c r="F189" s="114"/>
      <c r="G189" s="114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</row>
    <row r="190" ht="15.75" customHeight="1">
      <c r="A190" s="114"/>
      <c r="B190" s="114"/>
      <c r="C190" s="114"/>
      <c r="D190" s="114"/>
      <c r="E190" s="114"/>
      <c r="F190" s="114"/>
      <c r="G190" s="114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4"/>
      <c r="U190" s="114"/>
      <c r="V190" s="114"/>
      <c r="W190" s="114"/>
      <c r="X190" s="114"/>
      <c r="Y190" s="114"/>
      <c r="Z190" s="114"/>
    </row>
    <row r="191" ht="15.75" customHeight="1">
      <c r="A191" s="114"/>
      <c r="B191" s="114"/>
      <c r="C191" s="114"/>
      <c r="D191" s="114"/>
      <c r="E191" s="114"/>
      <c r="F191" s="114"/>
      <c r="G191" s="114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4"/>
      <c r="U191" s="114"/>
      <c r="V191" s="114"/>
      <c r="W191" s="114"/>
      <c r="X191" s="114"/>
      <c r="Y191" s="114"/>
      <c r="Z191" s="114"/>
    </row>
    <row r="192" ht="15.75" customHeight="1">
      <c r="A192" s="114"/>
      <c r="B192" s="114"/>
      <c r="C192" s="114"/>
      <c r="D192" s="114"/>
      <c r="E192" s="114"/>
      <c r="F192" s="114"/>
      <c r="G192" s="114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4"/>
      <c r="U192" s="114"/>
      <c r="V192" s="114"/>
      <c r="W192" s="114"/>
      <c r="X192" s="114"/>
      <c r="Y192" s="114"/>
      <c r="Z192" s="114"/>
    </row>
    <row r="193" ht="15.75" customHeight="1">
      <c r="A193" s="114"/>
      <c r="B193" s="114"/>
      <c r="C193" s="114"/>
      <c r="D193" s="114"/>
      <c r="E193" s="114"/>
      <c r="F193" s="114"/>
      <c r="G193" s="114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4"/>
      <c r="U193" s="114"/>
      <c r="V193" s="114"/>
      <c r="W193" s="114"/>
      <c r="X193" s="114"/>
      <c r="Y193" s="114"/>
      <c r="Z193" s="114"/>
    </row>
    <row r="194" ht="15.75" customHeight="1">
      <c r="A194" s="114"/>
      <c r="B194" s="114"/>
      <c r="C194" s="114"/>
      <c r="D194" s="114"/>
      <c r="E194" s="114"/>
      <c r="F194" s="114"/>
      <c r="G194" s="114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4"/>
      <c r="U194" s="114"/>
      <c r="V194" s="114"/>
      <c r="W194" s="114"/>
      <c r="X194" s="114"/>
      <c r="Y194" s="114"/>
      <c r="Z194" s="114"/>
    </row>
    <row r="195" ht="15.75" customHeight="1">
      <c r="A195" s="114"/>
      <c r="B195" s="114"/>
      <c r="C195" s="114"/>
      <c r="D195" s="114"/>
      <c r="E195" s="114"/>
      <c r="F195" s="114"/>
      <c r="G195" s="114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</row>
    <row r="196" ht="15.75" customHeight="1">
      <c r="A196" s="114"/>
      <c r="B196" s="114"/>
      <c r="C196" s="114"/>
      <c r="D196" s="114"/>
      <c r="E196" s="114"/>
      <c r="F196" s="114"/>
      <c r="G196" s="114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</row>
    <row r="197" ht="15.75" customHeight="1">
      <c r="A197" s="114"/>
      <c r="B197" s="114"/>
      <c r="C197" s="114"/>
      <c r="D197" s="114"/>
      <c r="E197" s="114"/>
      <c r="F197" s="114"/>
      <c r="G197" s="114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</row>
    <row r="198" ht="15.75" customHeight="1">
      <c r="A198" s="114"/>
      <c r="B198" s="114"/>
      <c r="C198" s="114"/>
      <c r="D198" s="114"/>
      <c r="E198" s="114"/>
      <c r="F198" s="114"/>
      <c r="G198" s="114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4"/>
      <c r="U198" s="114"/>
      <c r="V198" s="114"/>
      <c r="W198" s="114"/>
      <c r="X198" s="114"/>
      <c r="Y198" s="114"/>
      <c r="Z198" s="114"/>
    </row>
    <row r="199" ht="15.75" customHeight="1">
      <c r="A199" s="114"/>
      <c r="B199" s="114"/>
      <c r="C199" s="114"/>
      <c r="D199" s="114"/>
      <c r="E199" s="114"/>
      <c r="F199" s="114"/>
      <c r="G199" s="114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4"/>
      <c r="U199" s="114"/>
      <c r="V199" s="114"/>
      <c r="W199" s="114"/>
      <c r="X199" s="114"/>
      <c r="Y199" s="114"/>
      <c r="Z199" s="114"/>
    </row>
    <row r="200" ht="15.75" customHeight="1">
      <c r="A200" s="114"/>
      <c r="B200" s="114"/>
      <c r="C200" s="114"/>
      <c r="D200" s="114"/>
      <c r="E200" s="114"/>
      <c r="F200" s="114"/>
      <c r="G200" s="114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4"/>
      <c r="U200" s="114"/>
      <c r="V200" s="114"/>
      <c r="W200" s="114"/>
      <c r="X200" s="114"/>
      <c r="Y200" s="114"/>
      <c r="Z200" s="114"/>
    </row>
    <row r="201" ht="15.75" customHeight="1">
      <c r="A201" s="114"/>
      <c r="B201" s="114"/>
      <c r="C201" s="114"/>
      <c r="D201" s="114"/>
      <c r="E201" s="114"/>
      <c r="F201" s="114"/>
      <c r="G201" s="114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4"/>
      <c r="U201" s="114"/>
      <c r="V201" s="114"/>
      <c r="W201" s="114"/>
      <c r="X201" s="114"/>
      <c r="Y201" s="114"/>
      <c r="Z201" s="114"/>
    </row>
    <row r="202" ht="15.75" customHeight="1">
      <c r="A202" s="114"/>
      <c r="B202" s="114"/>
      <c r="C202" s="114"/>
      <c r="D202" s="114"/>
      <c r="E202" s="11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4"/>
      <c r="U202" s="114"/>
      <c r="V202" s="114"/>
      <c r="W202" s="114"/>
      <c r="X202" s="114"/>
      <c r="Y202" s="114"/>
      <c r="Z202" s="114"/>
    </row>
    <row r="203" ht="15.75" customHeight="1">
      <c r="A203" s="114"/>
      <c r="B203" s="114"/>
      <c r="C203" s="114"/>
      <c r="D203" s="114"/>
      <c r="E203" s="114"/>
      <c r="F203" s="114"/>
      <c r="G203" s="114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</row>
    <row r="204" ht="15.75" customHeight="1">
      <c r="A204" s="114"/>
      <c r="B204" s="114"/>
      <c r="C204" s="114"/>
      <c r="D204" s="114"/>
      <c r="E204" s="114"/>
      <c r="F204" s="114"/>
      <c r="G204" s="114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4"/>
      <c r="U204" s="114"/>
      <c r="V204" s="114"/>
      <c r="W204" s="114"/>
      <c r="X204" s="114"/>
      <c r="Y204" s="114"/>
      <c r="Z204" s="114"/>
    </row>
    <row r="205" ht="15.75" customHeight="1">
      <c r="A205" s="114"/>
      <c r="B205" s="114"/>
      <c r="C205" s="114"/>
      <c r="D205" s="114"/>
      <c r="E205" s="114"/>
      <c r="F205" s="114"/>
      <c r="G205" s="114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4"/>
      <c r="U205" s="114"/>
      <c r="V205" s="114"/>
      <c r="W205" s="114"/>
      <c r="X205" s="114"/>
      <c r="Y205" s="114"/>
      <c r="Z205" s="114"/>
    </row>
    <row r="206" ht="15.75" customHeight="1">
      <c r="A206" s="114"/>
      <c r="B206" s="114"/>
      <c r="C206" s="114"/>
      <c r="D206" s="114"/>
      <c r="E206" s="114"/>
      <c r="F206" s="114"/>
      <c r="G206" s="114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4"/>
      <c r="U206" s="114"/>
      <c r="V206" s="114"/>
      <c r="W206" s="114"/>
      <c r="X206" s="114"/>
      <c r="Y206" s="114"/>
      <c r="Z206" s="114"/>
    </row>
    <row r="207" ht="15.75" customHeight="1">
      <c r="A207" s="114"/>
      <c r="B207" s="114"/>
      <c r="C207" s="114"/>
      <c r="D207" s="114"/>
      <c r="E207" s="114"/>
      <c r="F207" s="114"/>
      <c r="G207" s="114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4"/>
      <c r="U207" s="114"/>
      <c r="V207" s="114"/>
      <c r="W207" s="114"/>
      <c r="X207" s="114"/>
      <c r="Y207" s="114"/>
      <c r="Z207" s="114"/>
    </row>
    <row r="208" ht="15.75" customHeight="1">
      <c r="A208" s="114"/>
      <c r="B208" s="114"/>
      <c r="C208" s="114"/>
      <c r="D208" s="114"/>
      <c r="E208" s="114"/>
      <c r="F208" s="114"/>
      <c r="G208" s="114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4"/>
      <c r="U208" s="114"/>
      <c r="V208" s="114"/>
      <c r="W208" s="114"/>
      <c r="X208" s="114"/>
      <c r="Y208" s="114"/>
      <c r="Z208" s="114"/>
    </row>
    <row r="209" ht="15.75" customHeight="1">
      <c r="A209" s="114"/>
      <c r="B209" s="114"/>
      <c r="C209" s="114"/>
      <c r="D209" s="114"/>
      <c r="E209" s="114"/>
      <c r="F209" s="114"/>
      <c r="G209" s="114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4"/>
      <c r="U209" s="114"/>
      <c r="V209" s="114"/>
      <c r="W209" s="114"/>
      <c r="X209" s="114"/>
      <c r="Y209" s="114"/>
      <c r="Z209" s="114"/>
    </row>
    <row r="210" ht="15.75" customHeight="1">
      <c r="A210" s="114"/>
      <c r="B210" s="114"/>
      <c r="C210" s="114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4"/>
      <c r="U210" s="114"/>
      <c r="V210" s="114"/>
      <c r="W210" s="114"/>
      <c r="X210" s="114"/>
      <c r="Y210" s="114"/>
      <c r="Z210" s="114"/>
    </row>
    <row r="211" ht="15.75" customHeight="1">
      <c r="A211" s="114"/>
      <c r="B211" s="114"/>
      <c r="C211" s="114"/>
      <c r="D211" s="114"/>
      <c r="E211" s="114"/>
      <c r="F211" s="114"/>
      <c r="G211" s="114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</row>
    <row r="212" ht="15.75" customHeight="1">
      <c r="A212" s="114"/>
      <c r="B212" s="114"/>
      <c r="C212" s="114"/>
      <c r="D212" s="114"/>
      <c r="E212" s="114"/>
      <c r="F212" s="114"/>
      <c r="G212" s="114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4"/>
      <c r="U212" s="114"/>
      <c r="V212" s="114"/>
      <c r="W212" s="114"/>
      <c r="X212" s="114"/>
      <c r="Y212" s="114"/>
      <c r="Z212" s="114"/>
    </row>
    <row r="213" ht="15.75" customHeight="1">
      <c r="A213" s="114"/>
      <c r="B213" s="114"/>
      <c r="C213" s="114"/>
      <c r="D213" s="114"/>
      <c r="E213" s="114"/>
      <c r="F213" s="114"/>
      <c r="G213" s="114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4"/>
      <c r="U213" s="114"/>
      <c r="V213" s="114"/>
      <c r="W213" s="114"/>
      <c r="X213" s="114"/>
      <c r="Y213" s="114"/>
      <c r="Z213" s="114"/>
    </row>
    <row r="214" ht="15.75" customHeight="1">
      <c r="A214" s="114"/>
      <c r="B214" s="114"/>
      <c r="C214" s="114"/>
      <c r="D214" s="114"/>
      <c r="E214" s="114"/>
      <c r="F214" s="114"/>
      <c r="G214" s="114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4"/>
      <c r="U214" s="114"/>
      <c r="V214" s="114"/>
      <c r="W214" s="114"/>
      <c r="X214" s="114"/>
      <c r="Y214" s="114"/>
      <c r="Z214" s="114"/>
    </row>
    <row r="215" ht="15.75" customHeight="1">
      <c r="A215" s="114"/>
      <c r="B215" s="114"/>
      <c r="C215" s="114"/>
      <c r="D215" s="114"/>
      <c r="E215" s="114"/>
      <c r="F215" s="114"/>
      <c r="G215" s="114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4"/>
      <c r="U215" s="114"/>
      <c r="V215" s="114"/>
      <c r="W215" s="114"/>
      <c r="X215" s="114"/>
      <c r="Y215" s="114"/>
      <c r="Z215" s="114"/>
    </row>
    <row r="216" ht="15.75" customHeight="1">
      <c r="A216" s="114"/>
      <c r="B216" s="114"/>
      <c r="C216" s="114"/>
      <c r="D216" s="114"/>
      <c r="E216" s="114"/>
      <c r="F216" s="114"/>
      <c r="G216" s="114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4"/>
      <c r="U216" s="114"/>
      <c r="V216" s="114"/>
      <c r="W216" s="114"/>
      <c r="X216" s="114"/>
      <c r="Y216" s="114"/>
      <c r="Z216" s="114"/>
    </row>
    <row r="217" ht="15.75" customHeight="1">
      <c r="A217" s="114"/>
      <c r="B217" s="114"/>
      <c r="C217" s="114"/>
      <c r="D217" s="114"/>
      <c r="E217" s="114"/>
      <c r="F217" s="114"/>
      <c r="G217" s="114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4"/>
      <c r="U217" s="114"/>
      <c r="V217" s="114"/>
      <c r="W217" s="114"/>
      <c r="X217" s="114"/>
      <c r="Y217" s="114"/>
      <c r="Z217" s="114"/>
    </row>
    <row r="218" ht="15.75" customHeight="1">
      <c r="A218" s="114"/>
      <c r="B218" s="114"/>
      <c r="C218" s="114"/>
      <c r="D218" s="114"/>
      <c r="E218" s="114"/>
      <c r="F218" s="114"/>
      <c r="G218" s="114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4"/>
      <c r="U218" s="114"/>
      <c r="V218" s="114"/>
      <c r="W218" s="114"/>
      <c r="X218" s="114"/>
      <c r="Y218" s="114"/>
      <c r="Z218" s="114"/>
    </row>
    <row r="219" ht="15.75" customHeight="1">
      <c r="A219" s="114"/>
      <c r="B219" s="114"/>
      <c r="C219" s="114"/>
      <c r="D219" s="114"/>
      <c r="E219" s="114"/>
      <c r="F219" s="114"/>
      <c r="G219" s="114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4"/>
      <c r="U219" s="114"/>
      <c r="V219" s="114"/>
      <c r="W219" s="114"/>
      <c r="X219" s="114"/>
      <c r="Y219" s="114"/>
      <c r="Z219" s="114"/>
    </row>
    <row r="220" ht="15.75" customHeight="1">
      <c r="A220" s="114"/>
      <c r="B220" s="114"/>
      <c r="C220" s="114"/>
      <c r="D220" s="114"/>
      <c r="E220" s="114"/>
      <c r="F220" s="114"/>
      <c r="G220" s="114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4"/>
      <c r="U220" s="114"/>
      <c r="V220" s="114"/>
      <c r="W220" s="114"/>
      <c r="X220" s="114"/>
      <c r="Y220" s="114"/>
      <c r="Z220" s="114"/>
    </row>
    <row r="221" ht="15.75" customHeight="1">
      <c r="A221" s="114"/>
      <c r="B221" s="114"/>
      <c r="C221" s="114"/>
      <c r="D221" s="114"/>
      <c r="E221" s="114"/>
      <c r="F221" s="114"/>
      <c r="G221" s="114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4"/>
      <c r="U221" s="114"/>
      <c r="V221" s="114"/>
      <c r="W221" s="114"/>
      <c r="X221" s="114"/>
      <c r="Y221" s="114"/>
      <c r="Z221" s="114"/>
    </row>
    <row r="222" ht="15.75" customHeight="1">
      <c r="A222" s="114"/>
      <c r="B222" s="114"/>
      <c r="C222" s="114"/>
      <c r="D222" s="114"/>
      <c r="E222" s="114"/>
      <c r="F222" s="114"/>
      <c r="G222" s="114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4"/>
      <c r="U222" s="114"/>
      <c r="V222" s="114"/>
      <c r="W222" s="114"/>
      <c r="X222" s="114"/>
      <c r="Y222" s="114"/>
      <c r="Z222" s="114"/>
    </row>
    <row r="223" ht="15.75" customHeight="1">
      <c r="A223" s="114"/>
      <c r="B223" s="114"/>
      <c r="C223" s="114"/>
      <c r="D223" s="114"/>
      <c r="E223" s="114"/>
      <c r="F223" s="114"/>
      <c r="G223" s="114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4"/>
      <c r="U223" s="114"/>
      <c r="V223" s="114"/>
      <c r="W223" s="114"/>
      <c r="X223" s="114"/>
      <c r="Y223" s="114"/>
      <c r="Z223" s="114"/>
    </row>
    <row r="224" ht="15.75" customHeight="1">
      <c r="A224" s="4"/>
      <c r="B224" s="4"/>
      <c r="D224" s="4"/>
      <c r="E224" s="4"/>
      <c r="G224" s="4"/>
    </row>
    <row r="225" ht="15.75" customHeight="1">
      <c r="A225" s="4"/>
      <c r="B225" s="4"/>
      <c r="D225" s="4"/>
      <c r="E225" s="4"/>
      <c r="G225" s="4"/>
    </row>
    <row r="226" ht="15.75" customHeight="1">
      <c r="A226" s="4"/>
      <c r="B226" s="4"/>
      <c r="D226" s="4"/>
      <c r="E226" s="4"/>
      <c r="G226" s="4"/>
    </row>
    <row r="227" ht="15.75" customHeight="1">
      <c r="A227" s="4"/>
      <c r="B227" s="4"/>
      <c r="D227" s="4"/>
      <c r="E227" s="4"/>
      <c r="G227" s="4"/>
    </row>
    <row r="228" ht="15.75" customHeight="1">
      <c r="A228" s="4"/>
      <c r="B228" s="4"/>
      <c r="D228" s="4"/>
      <c r="E228" s="4"/>
      <c r="G228" s="4"/>
    </row>
    <row r="229" ht="15.75" customHeight="1">
      <c r="A229" s="4"/>
      <c r="B229" s="4"/>
      <c r="D229" s="4"/>
      <c r="E229" s="4"/>
      <c r="G229" s="4"/>
    </row>
    <row r="230" ht="15.75" customHeight="1">
      <c r="A230" s="4"/>
      <c r="B230" s="4"/>
      <c r="D230" s="4"/>
      <c r="E230" s="4"/>
      <c r="G230" s="4"/>
    </row>
    <row r="231" ht="15.75" customHeight="1">
      <c r="A231" s="4"/>
      <c r="B231" s="4"/>
      <c r="D231" s="4"/>
      <c r="E231" s="4"/>
      <c r="G231" s="4"/>
    </row>
    <row r="232" ht="15.75" customHeight="1">
      <c r="A232" s="4"/>
      <c r="B232" s="4"/>
      <c r="D232" s="4"/>
      <c r="E232" s="4"/>
      <c r="G232" s="4"/>
    </row>
    <row r="233" ht="15.75" customHeight="1">
      <c r="A233" s="4"/>
      <c r="B233" s="4"/>
      <c r="D233" s="4"/>
      <c r="E233" s="4"/>
      <c r="G233" s="4"/>
    </row>
    <row r="234" ht="15.75" customHeight="1">
      <c r="A234" s="4"/>
      <c r="B234" s="4"/>
      <c r="D234" s="4"/>
      <c r="E234" s="4"/>
      <c r="G234" s="4"/>
    </row>
    <row r="235" ht="15.75" customHeight="1">
      <c r="A235" s="4"/>
      <c r="B235" s="4"/>
      <c r="D235" s="4"/>
      <c r="E235" s="4"/>
      <c r="G235" s="4"/>
    </row>
    <row r="236" ht="15.75" customHeight="1">
      <c r="A236" s="4"/>
      <c r="B236" s="4"/>
      <c r="D236" s="4"/>
      <c r="E236" s="4"/>
      <c r="G236" s="4"/>
    </row>
    <row r="237" ht="15.75" customHeight="1">
      <c r="A237" s="4"/>
      <c r="B237" s="4"/>
      <c r="D237" s="4"/>
      <c r="E237" s="4"/>
      <c r="G237" s="4"/>
    </row>
    <row r="238" ht="15.75" customHeight="1">
      <c r="A238" s="4"/>
      <c r="B238" s="4"/>
      <c r="D238" s="4"/>
      <c r="E238" s="4"/>
      <c r="G238" s="4"/>
    </row>
    <row r="239" ht="15.75" customHeight="1">
      <c r="A239" s="4"/>
      <c r="B239" s="4"/>
      <c r="D239" s="4"/>
      <c r="E239" s="4"/>
      <c r="G239" s="4"/>
    </row>
    <row r="240" ht="15.75" customHeight="1">
      <c r="A240" s="4"/>
      <c r="B240" s="4"/>
      <c r="D240" s="4"/>
      <c r="E240" s="4"/>
      <c r="G240" s="4"/>
    </row>
    <row r="241" ht="15.75" customHeight="1">
      <c r="A241" s="4"/>
      <c r="B241" s="4"/>
      <c r="D241" s="4"/>
      <c r="E241" s="4"/>
      <c r="G241" s="4"/>
    </row>
    <row r="242" ht="15.75" customHeight="1">
      <c r="A242" s="4"/>
      <c r="B242" s="4"/>
      <c r="D242" s="4"/>
      <c r="E242" s="4"/>
      <c r="G242" s="4"/>
    </row>
    <row r="243" ht="15.75" customHeight="1">
      <c r="A243" s="4"/>
      <c r="B243" s="4"/>
      <c r="D243" s="4"/>
      <c r="E243" s="4"/>
      <c r="G243" s="4"/>
    </row>
    <row r="244" ht="15.75" customHeight="1">
      <c r="A244" s="4"/>
      <c r="B244" s="4"/>
      <c r="D244" s="4"/>
      <c r="E244" s="4"/>
      <c r="G244" s="4"/>
    </row>
    <row r="245" ht="15.75" customHeight="1">
      <c r="A245" s="4"/>
      <c r="B245" s="4"/>
      <c r="D245" s="4"/>
      <c r="E245" s="4"/>
      <c r="G245" s="4"/>
    </row>
    <row r="246" ht="15.75" customHeight="1">
      <c r="A246" s="4"/>
      <c r="B246" s="4"/>
      <c r="D246" s="4"/>
      <c r="E246" s="4"/>
      <c r="G246" s="4"/>
    </row>
    <row r="247" ht="15.75" customHeight="1">
      <c r="A247" s="4"/>
      <c r="B247" s="4"/>
      <c r="D247" s="4"/>
      <c r="E247" s="4"/>
      <c r="G247" s="4"/>
    </row>
    <row r="248" ht="15.75" customHeight="1">
      <c r="A248" s="4"/>
      <c r="B248" s="4"/>
      <c r="D248" s="4"/>
      <c r="E248" s="4"/>
      <c r="G248" s="4"/>
    </row>
    <row r="249" ht="15.75" customHeight="1">
      <c r="A249" s="4"/>
      <c r="B249" s="4"/>
      <c r="D249" s="4"/>
      <c r="E249" s="4"/>
      <c r="G249" s="4"/>
    </row>
    <row r="250" ht="15.75" customHeight="1">
      <c r="A250" s="4"/>
      <c r="B250" s="4"/>
      <c r="D250" s="4"/>
      <c r="E250" s="4"/>
      <c r="G250" s="4"/>
    </row>
    <row r="251" ht="15.75" customHeight="1">
      <c r="A251" s="4"/>
      <c r="B251" s="4"/>
      <c r="D251" s="4"/>
      <c r="E251" s="4"/>
      <c r="G251" s="4"/>
    </row>
    <row r="252" ht="15.75" customHeight="1">
      <c r="A252" s="4"/>
      <c r="B252" s="4"/>
      <c r="D252" s="4"/>
      <c r="E252" s="4"/>
      <c r="G252" s="4"/>
    </row>
    <row r="253" ht="15.75" customHeight="1">
      <c r="A253" s="4"/>
      <c r="B253" s="4"/>
      <c r="D253" s="4"/>
      <c r="E253" s="4"/>
      <c r="G253" s="4"/>
    </row>
    <row r="254" ht="15.75" customHeight="1">
      <c r="A254" s="4"/>
      <c r="B254" s="4"/>
      <c r="D254" s="4"/>
      <c r="E254" s="4"/>
      <c r="G254" s="4"/>
    </row>
    <row r="255" ht="15.75" customHeight="1">
      <c r="A255" s="4"/>
      <c r="B255" s="4"/>
      <c r="D255" s="4"/>
      <c r="E255" s="4"/>
      <c r="G255" s="4"/>
    </row>
    <row r="256" ht="15.75" customHeight="1">
      <c r="A256" s="4"/>
      <c r="B256" s="4"/>
      <c r="D256" s="4"/>
      <c r="E256" s="4"/>
      <c r="G256" s="4"/>
    </row>
    <row r="257" ht="15.75" customHeight="1">
      <c r="A257" s="4"/>
      <c r="B257" s="4"/>
      <c r="D257" s="4"/>
      <c r="E257" s="4"/>
      <c r="G257" s="4"/>
    </row>
    <row r="258" ht="15.75" customHeight="1">
      <c r="A258" s="4"/>
      <c r="B258" s="4"/>
      <c r="D258" s="4"/>
      <c r="E258" s="4"/>
      <c r="G258" s="4"/>
    </row>
    <row r="259" ht="15.75" customHeight="1">
      <c r="A259" s="4"/>
      <c r="B259" s="4"/>
      <c r="D259" s="4"/>
      <c r="E259" s="4"/>
      <c r="G259" s="4"/>
    </row>
    <row r="260" ht="15.75" customHeight="1">
      <c r="A260" s="4"/>
      <c r="B260" s="4"/>
      <c r="D260" s="4"/>
      <c r="E260" s="4"/>
      <c r="G260" s="4"/>
    </row>
    <row r="261" ht="15.75" customHeight="1">
      <c r="A261" s="4"/>
      <c r="B261" s="4"/>
      <c r="D261" s="4"/>
      <c r="E261" s="4"/>
      <c r="G261" s="4"/>
    </row>
    <row r="262" ht="15.75" customHeight="1">
      <c r="A262" s="4"/>
      <c r="B262" s="4"/>
      <c r="D262" s="4"/>
      <c r="E262" s="4"/>
      <c r="G262" s="4"/>
    </row>
    <row r="263" ht="15.75" customHeight="1">
      <c r="A263" s="4"/>
      <c r="B263" s="4"/>
      <c r="D263" s="4"/>
      <c r="E263" s="4"/>
      <c r="G263" s="4"/>
    </row>
    <row r="264" ht="15.75" customHeight="1">
      <c r="A264" s="4"/>
      <c r="B264" s="4"/>
      <c r="D264" s="4"/>
      <c r="E264" s="4"/>
      <c r="G264" s="4"/>
    </row>
    <row r="265" ht="15.75" customHeight="1">
      <c r="A265" s="4"/>
      <c r="B265" s="4"/>
      <c r="D265" s="4"/>
      <c r="E265" s="4"/>
      <c r="G265" s="4"/>
    </row>
    <row r="266" ht="15.75" customHeight="1">
      <c r="A266" s="4"/>
      <c r="B266" s="4"/>
      <c r="D266" s="4"/>
      <c r="E266" s="4"/>
      <c r="G266" s="4"/>
    </row>
    <row r="267" ht="15.75" customHeight="1">
      <c r="A267" s="4"/>
      <c r="B267" s="4"/>
      <c r="D267" s="4"/>
      <c r="E267" s="4"/>
      <c r="G267" s="4"/>
    </row>
    <row r="268" ht="15.75" customHeight="1">
      <c r="A268" s="4"/>
      <c r="B268" s="4"/>
      <c r="D268" s="4"/>
      <c r="E268" s="4"/>
      <c r="G268" s="4"/>
    </row>
    <row r="269" ht="15.75" customHeight="1">
      <c r="A269" s="4"/>
      <c r="B269" s="4"/>
      <c r="D269" s="4"/>
      <c r="E269" s="4"/>
      <c r="G269" s="4"/>
    </row>
    <row r="270" ht="15.75" customHeight="1">
      <c r="A270" s="4"/>
      <c r="B270" s="4"/>
      <c r="D270" s="4"/>
      <c r="E270" s="4"/>
      <c r="G270" s="4"/>
    </row>
    <row r="271" ht="15.75" customHeight="1">
      <c r="A271" s="4"/>
      <c r="B271" s="4"/>
      <c r="D271" s="4"/>
      <c r="E271" s="4"/>
      <c r="G271" s="4"/>
    </row>
    <row r="272" ht="15.75" customHeight="1">
      <c r="A272" s="4"/>
      <c r="B272" s="4"/>
      <c r="D272" s="4"/>
      <c r="E272" s="4"/>
      <c r="G272" s="4"/>
    </row>
    <row r="273" ht="15.75" customHeight="1">
      <c r="A273" s="4"/>
      <c r="B273" s="4"/>
      <c r="D273" s="4"/>
      <c r="E273" s="4"/>
      <c r="G273" s="4"/>
    </row>
    <row r="274" ht="15.75" customHeight="1">
      <c r="A274" s="4"/>
      <c r="B274" s="4"/>
      <c r="D274" s="4"/>
      <c r="E274" s="4"/>
      <c r="G274" s="4"/>
    </row>
    <row r="275" ht="15.75" customHeight="1">
      <c r="A275" s="4"/>
      <c r="B275" s="4"/>
      <c r="D275" s="4"/>
      <c r="E275" s="4"/>
      <c r="G275" s="4"/>
    </row>
    <row r="276" ht="15.75" customHeight="1">
      <c r="A276" s="4"/>
      <c r="B276" s="4"/>
      <c r="D276" s="4"/>
      <c r="E276" s="4"/>
      <c r="G276" s="4"/>
    </row>
    <row r="277" ht="15.75" customHeight="1">
      <c r="A277" s="4"/>
      <c r="B277" s="4"/>
      <c r="D277" s="4"/>
      <c r="E277" s="4"/>
      <c r="G277" s="4"/>
    </row>
    <row r="278" ht="15.75" customHeight="1">
      <c r="A278" s="4"/>
      <c r="B278" s="4"/>
      <c r="D278" s="4"/>
      <c r="E278" s="4"/>
      <c r="G278" s="4"/>
    </row>
    <row r="279" ht="15.75" customHeight="1">
      <c r="A279" s="4"/>
      <c r="B279" s="4"/>
      <c r="D279" s="4"/>
      <c r="E279" s="4"/>
      <c r="G279" s="4"/>
    </row>
    <row r="280" ht="15.75" customHeight="1">
      <c r="A280" s="4"/>
      <c r="B280" s="4"/>
      <c r="D280" s="4"/>
      <c r="E280" s="4"/>
      <c r="G280" s="4"/>
    </row>
    <row r="281" ht="15.75" customHeight="1">
      <c r="A281" s="4"/>
      <c r="B281" s="4"/>
      <c r="D281" s="4"/>
      <c r="E281" s="4"/>
      <c r="G281" s="4"/>
    </row>
    <row r="282" ht="15.75" customHeight="1">
      <c r="A282" s="4"/>
      <c r="B282" s="4"/>
      <c r="D282" s="4"/>
      <c r="E282" s="4"/>
      <c r="G282" s="4"/>
    </row>
    <row r="283" ht="15.75" customHeight="1">
      <c r="A283" s="4"/>
      <c r="B283" s="4"/>
      <c r="D283" s="4"/>
      <c r="E283" s="4"/>
      <c r="G283" s="4"/>
    </row>
    <row r="284" ht="15.75" customHeight="1">
      <c r="A284" s="4"/>
      <c r="B284" s="4"/>
      <c r="D284" s="4"/>
      <c r="E284" s="4"/>
      <c r="G284" s="4"/>
    </row>
    <row r="285" ht="15.75" customHeight="1">
      <c r="A285" s="4"/>
      <c r="B285" s="4"/>
      <c r="D285" s="4"/>
      <c r="E285" s="4"/>
      <c r="G285" s="4"/>
    </row>
    <row r="286" ht="15.75" customHeight="1">
      <c r="A286" s="4"/>
      <c r="B286" s="4"/>
      <c r="D286" s="4"/>
      <c r="E286" s="4"/>
      <c r="G286" s="4"/>
    </row>
    <row r="287" ht="15.75" customHeight="1">
      <c r="A287" s="4"/>
      <c r="B287" s="4"/>
      <c r="D287" s="4"/>
      <c r="E287" s="4"/>
      <c r="G287" s="4"/>
    </row>
    <row r="288" ht="15.75" customHeight="1">
      <c r="A288" s="4"/>
      <c r="B288" s="4"/>
      <c r="D288" s="4"/>
      <c r="E288" s="4"/>
      <c r="G288" s="4"/>
    </row>
    <row r="289" ht="15.75" customHeight="1">
      <c r="A289" s="4"/>
      <c r="B289" s="4"/>
      <c r="D289" s="4"/>
      <c r="E289" s="4"/>
      <c r="G289" s="4"/>
    </row>
    <row r="290" ht="15.75" customHeight="1">
      <c r="A290" s="4"/>
      <c r="B290" s="4"/>
      <c r="D290" s="4"/>
      <c r="E290" s="4"/>
      <c r="G290" s="4"/>
    </row>
    <row r="291" ht="15.75" customHeight="1">
      <c r="A291" s="4"/>
      <c r="B291" s="4"/>
      <c r="D291" s="4"/>
      <c r="E291" s="4"/>
      <c r="G291" s="4"/>
    </row>
    <row r="292" ht="15.75" customHeight="1">
      <c r="A292" s="4"/>
      <c r="B292" s="4"/>
      <c r="D292" s="4"/>
      <c r="E292" s="4"/>
      <c r="G292" s="4"/>
    </row>
    <row r="293" ht="15.75" customHeight="1">
      <c r="A293" s="4"/>
      <c r="B293" s="4"/>
      <c r="D293" s="4"/>
      <c r="E293" s="4"/>
      <c r="G293" s="4"/>
    </row>
    <row r="294" ht="15.75" customHeight="1">
      <c r="A294" s="4"/>
      <c r="B294" s="4"/>
      <c r="D294" s="4"/>
      <c r="E294" s="4"/>
      <c r="G294" s="4"/>
    </row>
    <row r="295" ht="15.75" customHeight="1">
      <c r="A295" s="4"/>
      <c r="B295" s="4"/>
      <c r="D295" s="4"/>
      <c r="E295" s="4"/>
      <c r="G295" s="4"/>
    </row>
    <row r="296" ht="15.75" customHeight="1">
      <c r="A296" s="4"/>
      <c r="B296" s="4"/>
      <c r="D296" s="4"/>
      <c r="E296" s="4"/>
      <c r="G296" s="4"/>
    </row>
    <row r="297" ht="15.75" customHeight="1">
      <c r="A297" s="4"/>
      <c r="B297" s="4"/>
      <c r="D297" s="4"/>
      <c r="E297" s="4"/>
      <c r="G297" s="4"/>
    </row>
    <row r="298" ht="15.75" customHeight="1">
      <c r="A298" s="4"/>
      <c r="B298" s="4"/>
      <c r="D298" s="4"/>
      <c r="E298" s="4"/>
      <c r="G298" s="4"/>
    </row>
    <row r="299" ht="15.75" customHeight="1">
      <c r="A299" s="4"/>
      <c r="B299" s="4"/>
      <c r="D299" s="4"/>
      <c r="E299" s="4"/>
      <c r="G299" s="4"/>
    </row>
    <row r="300" ht="15.75" customHeight="1">
      <c r="A300" s="4"/>
      <c r="B300" s="4"/>
      <c r="D300" s="4"/>
      <c r="E300" s="4"/>
      <c r="G300" s="4"/>
    </row>
    <row r="301" ht="15.75" customHeight="1">
      <c r="A301" s="4"/>
      <c r="B301" s="4"/>
      <c r="D301" s="4"/>
      <c r="E301" s="4"/>
      <c r="G301" s="4"/>
    </row>
    <row r="302" ht="15.75" customHeight="1">
      <c r="A302" s="4"/>
      <c r="B302" s="4"/>
      <c r="D302" s="4"/>
      <c r="E302" s="4"/>
      <c r="G302" s="4"/>
    </row>
    <row r="303" ht="15.75" customHeight="1">
      <c r="A303" s="4"/>
      <c r="B303" s="4"/>
      <c r="D303" s="4"/>
      <c r="E303" s="4"/>
      <c r="G303" s="4"/>
    </row>
    <row r="304" ht="15.75" customHeight="1">
      <c r="A304" s="4"/>
      <c r="B304" s="4"/>
      <c r="D304" s="4"/>
      <c r="E304" s="4"/>
      <c r="G304" s="4"/>
    </row>
    <row r="305" ht="15.75" customHeight="1">
      <c r="A305" s="4"/>
      <c r="B305" s="4"/>
      <c r="D305" s="4"/>
      <c r="E305" s="4"/>
      <c r="G305" s="4"/>
    </row>
    <row r="306" ht="15.75" customHeight="1">
      <c r="A306" s="4"/>
      <c r="B306" s="4"/>
      <c r="D306" s="4"/>
      <c r="E306" s="4"/>
      <c r="G306" s="4"/>
    </row>
    <row r="307" ht="15.75" customHeight="1">
      <c r="A307" s="4"/>
      <c r="B307" s="4"/>
      <c r="D307" s="4"/>
      <c r="E307" s="4"/>
      <c r="G307" s="4"/>
    </row>
    <row r="308" ht="15.75" customHeight="1">
      <c r="A308" s="4"/>
      <c r="B308" s="4"/>
      <c r="D308" s="4"/>
      <c r="E308" s="4"/>
      <c r="G308" s="4"/>
    </row>
    <row r="309" ht="15.75" customHeight="1">
      <c r="A309" s="4"/>
      <c r="B309" s="4"/>
      <c r="D309" s="4"/>
      <c r="E309" s="4"/>
      <c r="G309" s="4"/>
    </row>
    <row r="310" ht="15.75" customHeight="1">
      <c r="A310" s="4"/>
      <c r="B310" s="4"/>
      <c r="D310" s="4"/>
      <c r="E310" s="4"/>
      <c r="G310" s="4"/>
    </row>
    <row r="311" ht="15.75" customHeight="1">
      <c r="A311" s="4"/>
      <c r="B311" s="4"/>
      <c r="D311" s="4"/>
      <c r="E311" s="4"/>
      <c r="G311" s="4"/>
    </row>
    <row r="312" ht="15.75" customHeight="1">
      <c r="A312" s="4"/>
      <c r="B312" s="4"/>
      <c r="D312" s="4"/>
      <c r="E312" s="4"/>
      <c r="G312" s="4"/>
    </row>
    <row r="313" ht="15.75" customHeight="1">
      <c r="A313" s="4"/>
      <c r="B313" s="4"/>
      <c r="D313" s="4"/>
      <c r="E313" s="4"/>
      <c r="G313" s="4"/>
    </row>
    <row r="314" ht="15.75" customHeight="1">
      <c r="A314" s="4"/>
      <c r="B314" s="4"/>
      <c r="D314" s="4"/>
      <c r="E314" s="4"/>
      <c r="G314" s="4"/>
    </row>
    <row r="315" ht="15.75" customHeight="1">
      <c r="A315" s="4"/>
      <c r="B315" s="4"/>
      <c r="D315" s="4"/>
      <c r="E315" s="4"/>
      <c r="G315" s="4"/>
    </row>
    <row r="316" ht="15.75" customHeight="1">
      <c r="A316" s="4"/>
      <c r="B316" s="4"/>
      <c r="D316" s="4"/>
      <c r="E316" s="4"/>
      <c r="G316" s="4"/>
    </row>
    <row r="317" ht="15.75" customHeight="1">
      <c r="A317" s="4"/>
      <c r="B317" s="4"/>
      <c r="D317" s="4"/>
      <c r="E317" s="4"/>
      <c r="G317" s="4"/>
    </row>
    <row r="318" ht="15.75" customHeight="1">
      <c r="A318" s="4"/>
      <c r="B318" s="4"/>
      <c r="D318" s="4"/>
      <c r="E318" s="4"/>
      <c r="G318" s="4"/>
    </row>
    <row r="319" ht="15.75" customHeight="1">
      <c r="A319" s="4"/>
      <c r="B319" s="4"/>
      <c r="D319" s="4"/>
      <c r="E319" s="4"/>
      <c r="G319" s="4"/>
    </row>
    <row r="320" ht="15.75" customHeight="1">
      <c r="A320" s="4"/>
      <c r="B320" s="4"/>
      <c r="D320" s="4"/>
      <c r="E320" s="4"/>
      <c r="G320" s="4"/>
    </row>
    <row r="321" ht="15.75" customHeight="1">
      <c r="A321" s="4"/>
      <c r="B321" s="4"/>
      <c r="D321" s="4"/>
      <c r="E321" s="4"/>
      <c r="G321" s="4"/>
    </row>
    <row r="322" ht="15.75" customHeight="1">
      <c r="A322" s="4"/>
      <c r="B322" s="4"/>
      <c r="D322" s="4"/>
      <c r="E322" s="4"/>
      <c r="G322" s="4"/>
    </row>
    <row r="323" ht="15.75" customHeight="1">
      <c r="A323" s="4"/>
      <c r="B323" s="4"/>
      <c r="D323" s="4"/>
      <c r="E323" s="4"/>
      <c r="G323" s="4"/>
    </row>
    <row r="324" ht="15.75" customHeight="1">
      <c r="A324" s="4"/>
      <c r="B324" s="4"/>
      <c r="D324" s="4"/>
      <c r="E324" s="4"/>
      <c r="G324" s="4"/>
    </row>
    <row r="325" ht="15.75" customHeight="1">
      <c r="A325" s="4"/>
      <c r="B325" s="4"/>
      <c r="D325" s="4"/>
      <c r="E325" s="4"/>
      <c r="G325" s="4"/>
    </row>
    <row r="326" ht="15.75" customHeight="1">
      <c r="A326" s="4"/>
      <c r="B326" s="4"/>
      <c r="D326" s="4"/>
      <c r="E326" s="4"/>
      <c r="G326" s="4"/>
    </row>
    <row r="327" ht="15.75" customHeight="1">
      <c r="A327" s="4"/>
      <c r="B327" s="4"/>
      <c r="D327" s="4"/>
      <c r="E327" s="4"/>
      <c r="G327" s="4"/>
    </row>
    <row r="328" ht="15.75" customHeight="1">
      <c r="A328" s="4"/>
      <c r="B328" s="4"/>
      <c r="D328" s="4"/>
      <c r="E328" s="4"/>
      <c r="G328" s="4"/>
    </row>
    <row r="329" ht="15.75" customHeight="1">
      <c r="A329" s="4"/>
      <c r="B329" s="4"/>
      <c r="D329" s="4"/>
      <c r="E329" s="4"/>
      <c r="G329" s="4"/>
    </row>
    <row r="330" ht="15.75" customHeight="1">
      <c r="A330" s="4"/>
      <c r="B330" s="4"/>
      <c r="D330" s="4"/>
      <c r="E330" s="4"/>
      <c r="G330" s="4"/>
    </row>
    <row r="331" ht="15.75" customHeight="1">
      <c r="A331" s="4"/>
      <c r="B331" s="4"/>
      <c r="D331" s="4"/>
      <c r="E331" s="4"/>
      <c r="G331" s="4"/>
    </row>
    <row r="332" ht="15.75" customHeight="1">
      <c r="A332" s="4"/>
      <c r="B332" s="4"/>
      <c r="D332" s="4"/>
      <c r="E332" s="4"/>
      <c r="G332" s="4"/>
    </row>
    <row r="333" ht="15.75" customHeight="1">
      <c r="A333" s="4"/>
      <c r="B333" s="4"/>
      <c r="D333" s="4"/>
      <c r="E333" s="4"/>
      <c r="G333" s="4"/>
    </row>
    <row r="334" ht="15.75" customHeight="1">
      <c r="A334" s="4"/>
      <c r="B334" s="4"/>
      <c r="D334" s="4"/>
      <c r="E334" s="4"/>
      <c r="G334" s="4"/>
    </row>
    <row r="335" ht="15.75" customHeight="1">
      <c r="A335" s="4"/>
      <c r="B335" s="4"/>
      <c r="D335" s="4"/>
      <c r="E335" s="4"/>
      <c r="G335" s="4"/>
    </row>
    <row r="336" ht="15.75" customHeight="1">
      <c r="A336" s="4"/>
      <c r="B336" s="4"/>
      <c r="D336" s="4"/>
      <c r="E336" s="4"/>
      <c r="G336" s="4"/>
    </row>
    <row r="337" ht="15.75" customHeight="1">
      <c r="A337" s="4"/>
      <c r="B337" s="4"/>
      <c r="D337" s="4"/>
      <c r="E337" s="4"/>
      <c r="G337" s="4"/>
    </row>
    <row r="338" ht="15.75" customHeight="1">
      <c r="A338" s="4"/>
      <c r="B338" s="4"/>
      <c r="D338" s="4"/>
      <c r="E338" s="4"/>
      <c r="G338" s="4"/>
    </row>
    <row r="339" ht="15.75" customHeight="1">
      <c r="A339" s="4"/>
      <c r="B339" s="4"/>
      <c r="D339" s="4"/>
      <c r="E339" s="4"/>
      <c r="G339" s="4"/>
    </row>
    <row r="340" ht="15.75" customHeight="1">
      <c r="A340" s="4"/>
      <c r="B340" s="4"/>
      <c r="D340" s="4"/>
      <c r="E340" s="4"/>
      <c r="G340" s="4"/>
    </row>
    <row r="341" ht="15.75" customHeight="1">
      <c r="A341" s="4"/>
      <c r="B341" s="4"/>
      <c r="D341" s="4"/>
      <c r="E341" s="4"/>
      <c r="G341" s="4"/>
    </row>
    <row r="342" ht="15.75" customHeight="1">
      <c r="A342" s="4"/>
      <c r="B342" s="4"/>
      <c r="D342" s="4"/>
      <c r="E342" s="4"/>
      <c r="G342" s="4"/>
    </row>
    <row r="343" ht="15.75" customHeight="1">
      <c r="A343" s="4"/>
      <c r="B343" s="4"/>
      <c r="D343" s="4"/>
      <c r="E343" s="4"/>
      <c r="G343" s="4"/>
    </row>
    <row r="344" ht="15.75" customHeight="1">
      <c r="A344" s="4"/>
      <c r="B344" s="4"/>
      <c r="D344" s="4"/>
      <c r="E344" s="4"/>
      <c r="G344" s="4"/>
    </row>
    <row r="345" ht="15.75" customHeight="1">
      <c r="A345" s="4"/>
      <c r="B345" s="4"/>
      <c r="D345" s="4"/>
      <c r="E345" s="4"/>
      <c r="G345" s="4"/>
    </row>
    <row r="346" ht="15.75" customHeight="1">
      <c r="A346" s="4"/>
      <c r="B346" s="4"/>
      <c r="D346" s="4"/>
      <c r="E346" s="4"/>
      <c r="G346" s="4"/>
    </row>
    <row r="347" ht="15.75" customHeight="1">
      <c r="A347" s="4"/>
      <c r="B347" s="4"/>
      <c r="D347" s="4"/>
      <c r="E347" s="4"/>
      <c r="G347" s="4"/>
    </row>
    <row r="348" ht="15.75" customHeight="1">
      <c r="A348" s="4"/>
      <c r="B348" s="4"/>
      <c r="D348" s="4"/>
      <c r="E348" s="4"/>
      <c r="G348" s="4"/>
    </row>
    <row r="349" ht="15.75" customHeight="1">
      <c r="A349" s="4"/>
      <c r="B349" s="4"/>
      <c r="D349" s="4"/>
      <c r="E349" s="4"/>
      <c r="G349" s="4"/>
    </row>
    <row r="350" ht="15.75" customHeight="1">
      <c r="A350" s="4"/>
      <c r="B350" s="4"/>
      <c r="D350" s="4"/>
      <c r="E350" s="4"/>
      <c r="G350" s="4"/>
    </row>
    <row r="351" ht="15.75" customHeight="1">
      <c r="A351" s="4"/>
      <c r="B351" s="4"/>
      <c r="D351" s="4"/>
      <c r="E351" s="4"/>
      <c r="G351" s="4"/>
    </row>
    <row r="352" ht="15.75" customHeight="1">
      <c r="A352" s="4"/>
      <c r="B352" s="4"/>
      <c r="D352" s="4"/>
      <c r="E352" s="4"/>
      <c r="G352" s="4"/>
    </row>
    <row r="353" ht="15.75" customHeight="1">
      <c r="A353" s="4"/>
      <c r="B353" s="4"/>
      <c r="D353" s="4"/>
      <c r="E353" s="4"/>
      <c r="G353" s="4"/>
    </row>
    <row r="354" ht="15.75" customHeight="1">
      <c r="A354" s="4"/>
      <c r="B354" s="4"/>
      <c r="D354" s="4"/>
      <c r="E354" s="4"/>
      <c r="G354" s="4"/>
    </row>
    <row r="355" ht="15.75" customHeight="1">
      <c r="A355" s="4"/>
      <c r="B355" s="4"/>
      <c r="D355" s="4"/>
      <c r="E355" s="4"/>
      <c r="G355" s="4"/>
    </row>
    <row r="356" ht="15.75" customHeight="1">
      <c r="A356" s="4"/>
      <c r="B356" s="4"/>
      <c r="D356" s="4"/>
      <c r="E356" s="4"/>
      <c r="G356" s="4"/>
    </row>
    <row r="357" ht="15.75" customHeight="1">
      <c r="A357" s="4"/>
      <c r="B357" s="4"/>
      <c r="D357" s="4"/>
      <c r="E357" s="4"/>
      <c r="G357" s="4"/>
    </row>
    <row r="358" ht="15.75" customHeight="1">
      <c r="A358" s="4"/>
      <c r="B358" s="4"/>
      <c r="D358" s="4"/>
      <c r="E358" s="4"/>
      <c r="G358" s="4"/>
    </row>
    <row r="359" ht="15.75" customHeight="1">
      <c r="A359" s="4"/>
      <c r="B359" s="4"/>
      <c r="D359" s="4"/>
      <c r="E359" s="4"/>
      <c r="G359" s="4"/>
    </row>
    <row r="360" ht="15.75" customHeight="1">
      <c r="A360" s="4"/>
      <c r="B360" s="4"/>
      <c r="D360" s="4"/>
      <c r="E360" s="4"/>
      <c r="G360" s="4"/>
    </row>
    <row r="361" ht="15.75" customHeight="1">
      <c r="A361" s="4"/>
      <c r="B361" s="4"/>
      <c r="D361" s="4"/>
      <c r="E361" s="4"/>
      <c r="G361" s="4"/>
    </row>
    <row r="362" ht="15.75" customHeight="1">
      <c r="A362" s="4"/>
      <c r="B362" s="4"/>
      <c r="D362" s="4"/>
      <c r="E362" s="4"/>
      <c r="G362" s="4"/>
    </row>
    <row r="363" ht="15.75" customHeight="1">
      <c r="A363" s="4"/>
      <c r="B363" s="4"/>
      <c r="D363" s="4"/>
      <c r="E363" s="4"/>
      <c r="G363" s="4"/>
    </row>
    <row r="364" ht="15.75" customHeight="1">
      <c r="A364" s="4"/>
      <c r="B364" s="4"/>
      <c r="D364" s="4"/>
      <c r="E364" s="4"/>
      <c r="G364" s="4"/>
    </row>
    <row r="365" ht="15.75" customHeight="1">
      <c r="A365" s="4"/>
      <c r="B365" s="4"/>
      <c r="D365" s="4"/>
      <c r="E365" s="4"/>
      <c r="G365" s="4"/>
    </row>
    <row r="366" ht="15.75" customHeight="1">
      <c r="A366" s="4"/>
      <c r="B366" s="4"/>
      <c r="D366" s="4"/>
      <c r="E366" s="4"/>
      <c r="G366" s="4"/>
    </row>
    <row r="367" ht="15.75" customHeight="1">
      <c r="A367" s="4"/>
      <c r="B367" s="4"/>
      <c r="D367" s="4"/>
      <c r="E367" s="4"/>
      <c r="G367" s="4"/>
    </row>
    <row r="368" ht="15.75" customHeight="1">
      <c r="A368" s="4"/>
      <c r="B368" s="4"/>
      <c r="D368" s="4"/>
      <c r="E368" s="4"/>
      <c r="G368" s="4"/>
    </row>
    <row r="369" ht="15.75" customHeight="1">
      <c r="A369" s="4"/>
      <c r="B369" s="4"/>
      <c r="D369" s="4"/>
      <c r="E369" s="4"/>
      <c r="G369" s="4"/>
    </row>
    <row r="370" ht="15.75" customHeight="1">
      <c r="A370" s="4"/>
      <c r="B370" s="4"/>
      <c r="D370" s="4"/>
      <c r="E370" s="4"/>
      <c r="G370" s="4"/>
    </row>
    <row r="371" ht="15.75" customHeight="1">
      <c r="A371" s="4"/>
      <c r="B371" s="4"/>
      <c r="D371" s="4"/>
      <c r="E371" s="4"/>
      <c r="G371" s="4"/>
    </row>
    <row r="372" ht="15.75" customHeight="1">
      <c r="A372" s="4"/>
      <c r="B372" s="4"/>
      <c r="D372" s="4"/>
      <c r="E372" s="4"/>
      <c r="G372" s="4"/>
    </row>
    <row r="373" ht="15.75" customHeight="1">
      <c r="A373" s="4"/>
      <c r="B373" s="4"/>
      <c r="D373" s="4"/>
      <c r="E373" s="4"/>
      <c r="G373" s="4"/>
    </row>
    <row r="374" ht="15.75" customHeight="1">
      <c r="A374" s="4"/>
      <c r="B374" s="4"/>
      <c r="D374" s="4"/>
      <c r="E374" s="4"/>
      <c r="G374" s="4"/>
    </row>
    <row r="375" ht="15.75" customHeight="1">
      <c r="A375" s="4"/>
      <c r="B375" s="4"/>
      <c r="D375" s="4"/>
      <c r="E375" s="4"/>
      <c r="G375" s="4"/>
    </row>
    <row r="376" ht="15.75" customHeight="1">
      <c r="A376" s="4"/>
      <c r="B376" s="4"/>
      <c r="D376" s="4"/>
      <c r="E376" s="4"/>
      <c r="G376" s="4"/>
    </row>
    <row r="377" ht="15.75" customHeight="1">
      <c r="A377" s="4"/>
      <c r="B377" s="4"/>
      <c r="D377" s="4"/>
      <c r="E377" s="4"/>
      <c r="G377" s="4"/>
    </row>
    <row r="378" ht="15.75" customHeight="1">
      <c r="A378" s="4"/>
      <c r="B378" s="4"/>
      <c r="D378" s="4"/>
      <c r="E378" s="4"/>
      <c r="G378" s="4"/>
    </row>
    <row r="379" ht="15.75" customHeight="1">
      <c r="A379" s="4"/>
      <c r="B379" s="4"/>
      <c r="D379" s="4"/>
      <c r="E379" s="4"/>
      <c r="G379" s="4"/>
    </row>
    <row r="380" ht="15.75" customHeight="1">
      <c r="A380" s="4"/>
      <c r="B380" s="4"/>
      <c r="D380" s="4"/>
      <c r="E380" s="4"/>
      <c r="G380" s="4"/>
    </row>
    <row r="381" ht="15.75" customHeight="1">
      <c r="A381" s="4"/>
      <c r="B381" s="4"/>
      <c r="D381" s="4"/>
      <c r="E381" s="4"/>
      <c r="G381" s="4"/>
    </row>
    <row r="382" ht="15.75" customHeight="1">
      <c r="A382" s="4"/>
      <c r="B382" s="4"/>
      <c r="D382" s="4"/>
      <c r="E382" s="4"/>
      <c r="G382" s="4"/>
    </row>
    <row r="383" ht="15.75" customHeight="1">
      <c r="A383" s="4"/>
      <c r="B383" s="4"/>
      <c r="D383" s="4"/>
      <c r="E383" s="4"/>
      <c r="G383" s="4"/>
    </row>
    <row r="384" ht="15.75" customHeight="1">
      <c r="A384" s="4"/>
      <c r="B384" s="4"/>
      <c r="D384" s="4"/>
      <c r="E384" s="4"/>
      <c r="G384" s="4"/>
    </row>
    <row r="385" ht="15.75" customHeight="1">
      <c r="A385" s="4"/>
      <c r="B385" s="4"/>
      <c r="D385" s="4"/>
      <c r="E385" s="4"/>
      <c r="G385" s="4"/>
    </row>
    <row r="386" ht="15.75" customHeight="1">
      <c r="A386" s="4"/>
      <c r="B386" s="4"/>
      <c r="D386" s="4"/>
      <c r="E386" s="4"/>
      <c r="G386" s="4"/>
    </row>
    <row r="387" ht="15.75" customHeight="1">
      <c r="A387" s="4"/>
      <c r="B387" s="4"/>
      <c r="D387" s="4"/>
      <c r="E387" s="4"/>
      <c r="G387" s="4"/>
    </row>
    <row r="388" ht="15.75" customHeight="1">
      <c r="A388" s="4"/>
      <c r="B388" s="4"/>
      <c r="D388" s="4"/>
      <c r="E388" s="4"/>
      <c r="G388" s="4"/>
    </row>
    <row r="389" ht="15.75" customHeight="1">
      <c r="A389" s="4"/>
      <c r="B389" s="4"/>
      <c r="D389" s="4"/>
      <c r="E389" s="4"/>
      <c r="G389" s="4"/>
    </row>
    <row r="390" ht="15.75" customHeight="1">
      <c r="A390" s="4"/>
      <c r="B390" s="4"/>
      <c r="D390" s="4"/>
      <c r="E390" s="4"/>
      <c r="G390" s="4"/>
    </row>
    <row r="391" ht="15.75" customHeight="1">
      <c r="A391" s="4"/>
      <c r="B391" s="4"/>
      <c r="D391" s="4"/>
      <c r="E391" s="4"/>
      <c r="G391" s="4"/>
    </row>
    <row r="392" ht="15.75" customHeight="1">
      <c r="A392" s="4"/>
      <c r="B392" s="4"/>
      <c r="D392" s="4"/>
      <c r="E392" s="4"/>
      <c r="G392" s="4"/>
    </row>
    <row r="393" ht="15.75" customHeight="1">
      <c r="A393" s="4"/>
      <c r="B393" s="4"/>
      <c r="D393" s="4"/>
      <c r="E393" s="4"/>
      <c r="G393" s="4"/>
    </row>
    <row r="394" ht="15.75" customHeight="1">
      <c r="A394" s="4"/>
      <c r="B394" s="4"/>
      <c r="D394" s="4"/>
      <c r="E394" s="4"/>
      <c r="G394" s="4"/>
    </row>
    <row r="395" ht="15.75" customHeight="1">
      <c r="A395" s="4"/>
      <c r="B395" s="4"/>
      <c r="D395" s="4"/>
      <c r="E395" s="4"/>
      <c r="G395" s="4"/>
    </row>
    <row r="396" ht="15.75" customHeight="1">
      <c r="A396" s="4"/>
      <c r="B396" s="4"/>
      <c r="D396" s="4"/>
      <c r="E396" s="4"/>
      <c r="G396" s="4"/>
    </row>
    <row r="397" ht="15.75" customHeight="1">
      <c r="A397" s="4"/>
      <c r="B397" s="4"/>
      <c r="D397" s="4"/>
      <c r="E397" s="4"/>
      <c r="G397" s="4"/>
    </row>
    <row r="398" ht="15.75" customHeight="1">
      <c r="A398" s="4"/>
      <c r="B398" s="4"/>
      <c r="D398" s="4"/>
      <c r="E398" s="4"/>
      <c r="G398" s="4"/>
    </row>
    <row r="399" ht="15.75" customHeight="1">
      <c r="A399" s="4"/>
      <c r="B399" s="4"/>
      <c r="D399" s="4"/>
      <c r="E399" s="4"/>
      <c r="G399" s="4"/>
    </row>
    <row r="400" ht="15.75" customHeight="1">
      <c r="A400" s="4"/>
      <c r="B400" s="4"/>
      <c r="D400" s="4"/>
      <c r="E400" s="4"/>
      <c r="G400" s="4"/>
    </row>
    <row r="401" ht="15.75" customHeight="1">
      <c r="A401" s="4"/>
      <c r="B401" s="4"/>
      <c r="D401" s="4"/>
      <c r="E401" s="4"/>
      <c r="G401" s="4"/>
    </row>
    <row r="402" ht="15.75" customHeight="1">
      <c r="A402" s="4"/>
      <c r="B402" s="4"/>
      <c r="D402" s="4"/>
      <c r="E402" s="4"/>
      <c r="G402" s="4"/>
    </row>
    <row r="403" ht="15.75" customHeight="1">
      <c r="A403" s="4"/>
      <c r="B403" s="4"/>
      <c r="D403" s="4"/>
      <c r="E403" s="4"/>
      <c r="G403" s="4"/>
    </row>
    <row r="404" ht="15.75" customHeight="1">
      <c r="A404" s="4"/>
      <c r="B404" s="4"/>
      <c r="D404" s="4"/>
      <c r="E404" s="4"/>
      <c r="G404" s="4"/>
    </row>
    <row r="405" ht="15.75" customHeight="1">
      <c r="A405" s="4"/>
      <c r="B405" s="4"/>
      <c r="D405" s="4"/>
      <c r="E405" s="4"/>
      <c r="G405" s="4"/>
    </row>
    <row r="406" ht="15.75" customHeight="1">
      <c r="A406" s="4"/>
      <c r="B406" s="4"/>
      <c r="D406" s="4"/>
      <c r="E406" s="4"/>
      <c r="G406" s="4"/>
    </row>
    <row r="407" ht="15.75" customHeight="1">
      <c r="A407" s="4"/>
      <c r="B407" s="4"/>
      <c r="D407" s="4"/>
      <c r="E407" s="4"/>
      <c r="G407" s="4"/>
    </row>
    <row r="408" ht="15.75" customHeight="1">
      <c r="A408" s="4"/>
      <c r="B408" s="4"/>
      <c r="D408" s="4"/>
      <c r="E408" s="4"/>
      <c r="G408" s="4"/>
    </row>
    <row r="409" ht="15.75" customHeight="1">
      <c r="A409" s="4"/>
      <c r="B409" s="4"/>
      <c r="D409" s="4"/>
      <c r="E409" s="4"/>
      <c r="G409" s="4"/>
    </row>
    <row r="410" ht="15.75" customHeight="1">
      <c r="A410" s="4"/>
      <c r="B410" s="4"/>
      <c r="D410" s="4"/>
      <c r="E410" s="4"/>
      <c r="G410" s="4"/>
    </row>
    <row r="411" ht="15.75" customHeight="1">
      <c r="A411" s="4"/>
      <c r="B411" s="4"/>
      <c r="D411" s="4"/>
      <c r="E411" s="4"/>
      <c r="G411" s="4"/>
    </row>
    <row r="412" ht="15.75" customHeight="1">
      <c r="A412" s="4"/>
      <c r="B412" s="4"/>
      <c r="D412" s="4"/>
      <c r="E412" s="4"/>
      <c r="G412" s="4"/>
    </row>
    <row r="413" ht="15.75" customHeight="1">
      <c r="A413" s="4"/>
      <c r="B413" s="4"/>
      <c r="D413" s="4"/>
      <c r="E413" s="4"/>
      <c r="G413" s="4"/>
    </row>
    <row r="414" ht="15.75" customHeight="1">
      <c r="A414" s="4"/>
      <c r="B414" s="4"/>
      <c r="D414" s="4"/>
      <c r="E414" s="4"/>
      <c r="G414" s="4"/>
    </row>
    <row r="415" ht="15.75" customHeight="1">
      <c r="A415" s="4"/>
      <c r="B415" s="4"/>
      <c r="D415" s="4"/>
      <c r="E415" s="4"/>
      <c r="G415" s="4"/>
    </row>
    <row r="416" ht="15.75" customHeight="1">
      <c r="A416" s="4"/>
      <c r="B416" s="4"/>
      <c r="D416" s="4"/>
      <c r="E416" s="4"/>
      <c r="G416" s="4"/>
    </row>
    <row r="417" ht="15.75" customHeight="1">
      <c r="A417" s="4"/>
      <c r="B417" s="4"/>
      <c r="D417" s="4"/>
      <c r="E417" s="4"/>
      <c r="G417" s="4"/>
    </row>
    <row r="418" ht="15.75" customHeight="1">
      <c r="A418" s="4"/>
      <c r="B418" s="4"/>
      <c r="D418" s="4"/>
      <c r="E418" s="4"/>
      <c r="G418" s="4"/>
    </row>
    <row r="419" ht="15.75" customHeight="1">
      <c r="A419" s="4"/>
      <c r="B419" s="4"/>
      <c r="D419" s="4"/>
      <c r="E419" s="4"/>
      <c r="G419" s="4"/>
    </row>
    <row r="420" ht="15.75" customHeight="1">
      <c r="A420" s="4"/>
      <c r="B420" s="4"/>
      <c r="D420" s="4"/>
      <c r="E420" s="4"/>
      <c r="G420" s="4"/>
    </row>
    <row r="421" ht="15.75" customHeight="1">
      <c r="A421" s="4"/>
      <c r="B421" s="4"/>
      <c r="D421" s="4"/>
      <c r="E421" s="4"/>
      <c r="G421" s="4"/>
    </row>
    <row r="422" ht="15.75" customHeight="1">
      <c r="A422" s="4"/>
      <c r="B422" s="4"/>
      <c r="D422" s="4"/>
      <c r="E422" s="4"/>
      <c r="G422" s="4"/>
    </row>
    <row r="423" ht="15.75" customHeight="1">
      <c r="A423" s="4"/>
      <c r="B423" s="4"/>
      <c r="D423" s="4"/>
      <c r="E423" s="4"/>
      <c r="G423" s="4"/>
    </row>
    <row r="424" ht="15.75" customHeight="1">
      <c r="A424" s="4"/>
      <c r="B424" s="4"/>
      <c r="D424" s="4"/>
      <c r="E424" s="4"/>
      <c r="G424" s="4"/>
    </row>
    <row r="425" ht="15.75" customHeight="1">
      <c r="A425" s="4"/>
      <c r="B425" s="4"/>
      <c r="D425" s="4"/>
      <c r="E425" s="4"/>
      <c r="G425" s="4"/>
    </row>
    <row r="426" ht="15.75" customHeight="1">
      <c r="A426" s="4"/>
      <c r="B426" s="4"/>
      <c r="D426" s="4"/>
      <c r="E426" s="4"/>
      <c r="G426" s="4"/>
    </row>
    <row r="427" ht="15.75" customHeight="1">
      <c r="A427" s="4"/>
      <c r="B427" s="4"/>
      <c r="D427" s="4"/>
      <c r="E427" s="4"/>
      <c r="G427" s="4"/>
    </row>
    <row r="428" ht="15.75" customHeight="1">
      <c r="A428" s="4"/>
      <c r="B428" s="4"/>
      <c r="D428" s="4"/>
      <c r="E428" s="4"/>
      <c r="G428" s="4"/>
    </row>
    <row r="429" ht="15.75" customHeight="1">
      <c r="A429" s="4"/>
      <c r="B429" s="4"/>
      <c r="D429" s="4"/>
      <c r="E429" s="4"/>
      <c r="G429" s="4"/>
    </row>
    <row r="430" ht="15.75" customHeight="1">
      <c r="A430" s="4"/>
      <c r="B430" s="4"/>
      <c r="D430" s="4"/>
      <c r="E430" s="4"/>
      <c r="G430" s="4"/>
    </row>
    <row r="431" ht="15.75" customHeight="1">
      <c r="A431" s="4"/>
      <c r="B431" s="4"/>
      <c r="D431" s="4"/>
      <c r="E431" s="4"/>
      <c r="G431" s="4"/>
    </row>
    <row r="432" ht="15.75" customHeight="1">
      <c r="A432" s="4"/>
      <c r="B432" s="4"/>
      <c r="D432" s="4"/>
      <c r="E432" s="4"/>
      <c r="G432" s="4"/>
    </row>
    <row r="433" ht="15.75" customHeight="1">
      <c r="A433" s="4"/>
      <c r="B433" s="4"/>
      <c r="D433" s="4"/>
      <c r="E433" s="4"/>
      <c r="G433" s="4"/>
    </row>
    <row r="434" ht="15.75" customHeight="1">
      <c r="A434" s="4"/>
      <c r="B434" s="4"/>
      <c r="D434" s="4"/>
      <c r="E434" s="4"/>
      <c r="G434" s="4"/>
    </row>
    <row r="435" ht="15.75" customHeight="1">
      <c r="A435" s="4"/>
      <c r="B435" s="4"/>
      <c r="D435" s="4"/>
      <c r="E435" s="4"/>
      <c r="G435" s="4"/>
    </row>
    <row r="436" ht="15.75" customHeight="1">
      <c r="A436" s="4"/>
      <c r="B436" s="4"/>
      <c r="D436" s="4"/>
      <c r="E436" s="4"/>
      <c r="G436" s="4"/>
    </row>
    <row r="437" ht="15.75" customHeight="1">
      <c r="A437" s="4"/>
      <c r="B437" s="4"/>
      <c r="D437" s="4"/>
      <c r="E437" s="4"/>
      <c r="G437" s="4"/>
    </row>
    <row r="438" ht="15.75" customHeight="1">
      <c r="A438" s="4"/>
      <c r="B438" s="4"/>
      <c r="D438" s="4"/>
      <c r="E438" s="4"/>
      <c r="G438" s="4"/>
    </row>
    <row r="439" ht="15.75" customHeight="1">
      <c r="A439" s="4"/>
      <c r="B439" s="4"/>
      <c r="D439" s="4"/>
      <c r="E439" s="4"/>
      <c r="G439" s="4"/>
    </row>
    <row r="440" ht="15.75" customHeight="1">
      <c r="A440" s="4"/>
      <c r="B440" s="4"/>
      <c r="D440" s="4"/>
      <c r="E440" s="4"/>
      <c r="G440" s="4"/>
    </row>
    <row r="441" ht="15.75" customHeight="1">
      <c r="A441" s="4"/>
      <c r="B441" s="4"/>
      <c r="D441" s="4"/>
      <c r="E441" s="4"/>
      <c r="G441" s="4"/>
    </row>
    <row r="442" ht="15.75" customHeight="1">
      <c r="A442" s="4"/>
      <c r="B442" s="4"/>
      <c r="D442" s="4"/>
      <c r="E442" s="4"/>
      <c r="G442" s="4"/>
    </row>
    <row r="443" ht="15.75" customHeight="1">
      <c r="A443" s="4"/>
      <c r="B443" s="4"/>
      <c r="D443" s="4"/>
      <c r="E443" s="4"/>
      <c r="G443" s="4"/>
    </row>
    <row r="444" ht="15.75" customHeight="1">
      <c r="A444" s="4"/>
      <c r="B444" s="4"/>
      <c r="D444" s="4"/>
      <c r="E444" s="4"/>
      <c r="G444" s="4"/>
    </row>
    <row r="445" ht="15.75" customHeight="1">
      <c r="A445" s="4"/>
      <c r="B445" s="4"/>
      <c r="D445" s="4"/>
      <c r="E445" s="4"/>
      <c r="G445" s="4"/>
    </row>
    <row r="446" ht="15.75" customHeight="1">
      <c r="A446" s="4"/>
      <c r="B446" s="4"/>
      <c r="D446" s="4"/>
      <c r="E446" s="4"/>
      <c r="G446" s="4"/>
    </row>
    <row r="447" ht="15.75" customHeight="1">
      <c r="A447" s="4"/>
      <c r="B447" s="4"/>
      <c r="D447" s="4"/>
      <c r="E447" s="4"/>
      <c r="G447" s="4"/>
    </row>
    <row r="448" ht="15.75" customHeight="1">
      <c r="A448" s="4"/>
      <c r="B448" s="4"/>
      <c r="D448" s="4"/>
      <c r="E448" s="4"/>
      <c r="G448" s="4"/>
    </row>
    <row r="449" ht="15.75" customHeight="1">
      <c r="A449" s="4"/>
      <c r="B449" s="4"/>
      <c r="D449" s="4"/>
      <c r="E449" s="4"/>
      <c r="G449" s="4"/>
    </row>
    <row r="450" ht="15.75" customHeight="1">
      <c r="A450" s="4"/>
      <c r="B450" s="4"/>
      <c r="D450" s="4"/>
      <c r="E450" s="4"/>
      <c r="G450" s="4"/>
    </row>
    <row r="451" ht="15.75" customHeight="1">
      <c r="A451" s="4"/>
      <c r="B451" s="4"/>
      <c r="D451" s="4"/>
      <c r="E451" s="4"/>
      <c r="G451" s="4"/>
    </row>
    <row r="452" ht="15.75" customHeight="1">
      <c r="A452" s="4"/>
      <c r="B452" s="4"/>
      <c r="D452" s="4"/>
      <c r="E452" s="4"/>
      <c r="G452" s="4"/>
    </row>
    <row r="453" ht="15.75" customHeight="1">
      <c r="A453" s="4"/>
      <c r="B453" s="4"/>
      <c r="D453" s="4"/>
      <c r="E453" s="4"/>
      <c r="G453" s="4"/>
    </row>
    <row r="454" ht="15.75" customHeight="1">
      <c r="A454" s="4"/>
      <c r="B454" s="4"/>
      <c r="D454" s="4"/>
      <c r="E454" s="4"/>
      <c r="G454" s="4"/>
    </row>
    <row r="455" ht="15.75" customHeight="1">
      <c r="A455" s="4"/>
      <c r="B455" s="4"/>
      <c r="D455" s="4"/>
      <c r="E455" s="4"/>
      <c r="G455" s="4"/>
    </row>
    <row r="456" ht="15.75" customHeight="1">
      <c r="A456" s="4"/>
      <c r="B456" s="4"/>
      <c r="D456" s="4"/>
      <c r="E456" s="4"/>
      <c r="G456" s="4"/>
    </row>
    <row r="457" ht="15.75" customHeight="1">
      <c r="A457" s="4"/>
      <c r="B457" s="4"/>
      <c r="D457" s="4"/>
      <c r="E457" s="4"/>
      <c r="G457" s="4"/>
    </row>
    <row r="458" ht="15.75" customHeight="1">
      <c r="A458" s="4"/>
      <c r="B458" s="4"/>
      <c r="D458" s="4"/>
      <c r="E458" s="4"/>
      <c r="G458" s="4"/>
    </row>
    <row r="459" ht="15.75" customHeight="1">
      <c r="A459" s="4"/>
      <c r="B459" s="4"/>
      <c r="D459" s="4"/>
      <c r="E459" s="4"/>
      <c r="G459" s="4"/>
    </row>
    <row r="460" ht="15.75" customHeight="1">
      <c r="A460" s="4"/>
      <c r="B460" s="4"/>
      <c r="D460" s="4"/>
      <c r="E460" s="4"/>
      <c r="G460" s="4"/>
    </row>
    <row r="461" ht="15.75" customHeight="1">
      <c r="A461" s="4"/>
      <c r="B461" s="4"/>
      <c r="D461" s="4"/>
      <c r="E461" s="4"/>
      <c r="G461" s="4"/>
    </row>
    <row r="462" ht="15.75" customHeight="1">
      <c r="A462" s="4"/>
      <c r="B462" s="4"/>
      <c r="D462" s="4"/>
      <c r="E462" s="4"/>
      <c r="G462" s="4"/>
    </row>
    <row r="463" ht="15.75" customHeight="1">
      <c r="A463" s="4"/>
      <c r="B463" s="4"/>
      <c r="D463" s="4"/>
      <c r="E463" s="4"/>
      <c r="G463" s="4"/>
    </row>
    <row r="464" ht="15.75" customHeight="1">
      <c r="A464" s="4"/>
      <c r="B464" s="4"/>
      <c r="D464" s="4"/>
      <c r="E464" s="4"/>
      <c r="G464" s="4"/>
    </row>
    <row r="465" ht="15.75" customHeight="1">
      <c r="A465" s="4"/>
      <c r="B465" s="4"/>
      <c r="D465" s="4"/>
      <c r="E465" s="4"/>
      <c r="G465" s="4"/>
    </row>
    <row r="466" ht="15.75" customHeight="1">
      <c r="A466" s="4"/>
      <c r="B466" s="4"/>
      <c r="D466" s="4"/>
      <c r="E466" s="4"/>
      <c r="G466" s="4"/>
    </row>
    <row r="467" ht="15.75" customHeight="1">
      <c r="A467" s="4"/>
      <c r="B467" s="4"/>
      <c r="D467" s="4"/>
      <c r="E467" s="4"/>
      <c r="G467" s="4"/>
    </row>
    <row r="468" ht="15.75" customHeight="1">
      <c r="A468" s="4"/>
      <c r="B468" s="4"/>
      <c r="D468" s="4"/>
      <c r="E468" s="4"/>
      <c r="G468" s="4"/>
    </row>
    <row r="469" ht="15.75" customHeight="1">
      <c r="A469" s="4"/>
      <c r="B469" s="4"/>
      <c r="D469" s="4"/>
      <c r="E469" s="4"/>
      <c r="G469" s="4"/>
    </row>
    <row r="470" ht="15.75" customHeight="1">
      <c r="A470" s="4"/>
      <c r="B470" s="4"/>
      <c r="D470" s="4"/>
      <c r="E470" s="4"/>
      <c r="G470" s="4"/>
    </row>
    <row r="471" ht="15.75" customHeight="1">
      <c r="A471" s="4"/>
      <c r="B471" s="4"/>
      <c r="D471" s="4"/>
      <c r="E471" s="4"/>
      <c r="G471" s="4"/>
    </row>
    <row r="472" ht="15.75" customHeight="1">
      <c r="A472" s="4"/>
      <c r="B472" s="4"/>
      <c r="D472" s="4"/>
      <c r="E472" s="4"/>
      <c r="G472" s="4"/>
    </row>
    <row r="473" ht="15.75" customHeight="1">
      <c r="A473" s="4"/>
      <c r="B473" s="4"/>
      <c r="D473" s="4"/>
      <c r="E473" s="4"/>
      <c r="G473" s="4"/>
    </row>
    <row r="474" ht="15.75" customHeight="1">
      <c r="A474" s="4"/>
      <c r="B474" s="4"/>
      <c r="D474" s="4"/>
      <c r="E474" s="4"/>
      <c r="G474" s="4"/>
    </row>
    <row r="475" ht="15.75" customHeight="1">
      <c r="A475" s="4"/>
      <c r="B475" s="4"/>
      <c r="D475" s="4"/>
      <c r="E475" s="4"/>
      <c r="G475" s="4"/>
    </row>
    <row r="476" ht="15.75" customHeight="1">
      <c r="A476" s="4"/>
      <c r="B476" s="4"/>
      <c r="D476" s="4"/>
      <c r="E476" s="4"/>
      <c r="G476" s="4"/>
    </row>
    <row r="477" ht="15.75" customHeight="1">
      <c r="A477" s="4"/>
      <c r="B477" s="4"/>
      <c r="D477" s="4"/>
      <c r="E477" s="4"/>
      <c r="G477" s="4"/>
    </row>
    <row r="478" ht="15.75" customHeight="1">
      <c r="A478" s="4"/>
      <c r="B478" s="4"/>
      <c r="D478" s="4"/>
      <c r="E478" s="4"/>
      <c r="G478" s="4"/>
    </row>
    <row r="479" ht="15.75" customHeight="1">
      <c r="A479" s="4"/>
      <c r="B479" s="4"/>
      <c r="D479" s="4"/>
      <c r="E479" s="4"/>
      <c r="G479" s="4"/>
    </row>
    <row r="480" ht="15.75" customHeight="1">
      <c r="A480" s="4"/>
      <c r="B480" s="4"/>
      <c r="D480" s="4"/>
      <c r="E480" s="4"/>
      <c r="G480" s="4"/>
    </row>
    <row r="481" ht="15.75" customHeight="1">
      <c r="A481" s="4"/>
      <c r="B481" s="4"/>
      <c r="D481" s="4"/>
      <c r="E481" s="4"/>
      <c r="G481" s="4"/>
    </row>
    <row r="482" ht="15.75" customHeight="1">
      <c r="A482" s="4"/>
      <c r="B482" s="4"/>
      <c r="D482" s="4"/>
      <c r="E482" s="4"/>
      <c r="G482" s="4"/>
    </row>
    <row r="483" ht="15.75" customHeight="1">
      <c r="A483" s="4"/>
      <c r="B483" s="4"/>
      <c r="D483" s="4"/>
      <c r="E483" s="4"/>
      <c r="G483" s="4"/>
    </row>
    <row r="484" ht="15.75" customHeight="1">
      <c r="A484" s="4"/>
      <c r="B484" s="4"/>
      <c r="D484" s="4"/>
      <c r="E484" s="4"/>
      <c r="G484" s="4"/>
    </row>
    <row r="485" ht="15.75" customHeight="1">
      <c r="A485" s="4"/>
      <c r="B485" s="4"/>
      <c r="D485" s="4"/>
      <c r="E485" s="4"/>
      <c r="G485" s="4"/>
    </row>
    <row r="486" ht="15.75" customHeight="1">
      <c r="A486" s="4"/>
      <c r="B486" s="4"/>
      <c r="D486" s="4"/>
      <c r="E486" s="4"/>
      <c r="G486" s="4"/>
    </row>
    <row r="487" ht="15.75" customHeight="1">
      <c r="A487" s="4"/>
      <c r="B487" s="4"/>
      <c r="D487" s="4"/>
      <c r="E487" s="4"/>
      <c r="G487" s="4"/>
    </row>
    <row r="488" ht="15.75" customHeight="1">
      <c r="A488" s="4"/>
      <c r="B488" s="4"/>
      <c r="D488" s="4"/>
      <c r="E488" s="4"/>
      <c r="G488" s="4"/>
    </row>
    <row r="489" ht="15.75" customHeight="1">
      <c r="A489" s="4"/>
      <c r="B489" s="4"/>
      <c r="D489" s="4"/>
      <c r="E489" s="4"/>
      <c r="G489" s="4"/>
    </row>
    <row r="490" ht="15.75" customHeight="1">
      <c r="A490" s="4"/>
      <c r="B490" s="4"/>
      <c r="D490" s="4"/>
      <c r="E490" s="4"/>
      <c r="G490" s="4"/>
    </row>
    <row r="491" ht="15.75" customHeight="1">
      <c r="A491" s="4"/>
      <c r="B491" s="4"/>
      <c r="D491" s="4"/>
      <c r="E491" s="4"/>
      <c r="G491" s="4"/>
    </row>
    <row r="492" ht="15.75" customHeight="1">
      <c r="A492" s="4"/>
      <c r="B492" s="4"/>
      <c r="D492" s="4"/>
      <c r="E492" s="4"/>
      <c r="G492" s="4"/>
    </row>
    <row r="493" ht="15.75" customHeight="1">
      <c r="A493" s="4"/>
      <c r="B493" s="4"/>
      <c r="D493" s="4"/>
      <c r="E493" s="4"/>
      <c r="G493" s="4"/>
    </row>
    <row r="494" ht="15.75" customHeight="1">
      <c r="A494" s="4"/>
      <c r="B494" s="4"/>
      <c r="D494" s="4"/>
      <c r="E494" s="4"/>
      <c r="G494" s="4"/>
    </row>
    <row r="495" ht="15.75" customHeight="1">
      <c r="A495" s="4"/>
      <c r="B495" s="4"/>
      <c r="D495" s="4"/>
      <c r="E495" s="4"/>
      <c r="G495" s="4"/>
    </row>
    <row r="496" ht="15.75" customHeight="1">
      <c r="A496" s="4"/>
      <c r="B496" s="4"/>
      <c r="D496" s="4"/>
      <c r="E496" s="4"/>
      <c r="G496" s="4"/>
    </row>
    <row r="497" ht="15.75" customHeight="1">
      <c r="A497" s="4"/>
      <c r="B497" s="4"/>
      <c r="D497" s="4"/>
      <c r="E497" s="4"/>
      <c r="G497" s="4"/>
    </row>
    <row r="498" ht="15.75" customHeight="1">
      <c r="A498" s="4"/>
      <c r="B498" s="4"/>
      <c r="D498" s="4"/>
      <c r="E498" s="4"/>
      <c r="G498" s="4"/>
    </row>
    <row r="499" ht="15.75" customHeight="1">
      <c r="A499" s="4"/>
      <c r="B499" s="4"/>
      <c r="D499" s="4"/>
      <c r="E499" s="4"/>
      <c r="G499" s="4"/>
    </row>
    <row r="500" ht="15.75" customHeight="1">
      <c r="A500" s="4"/>
      <c r="B500" s="4"/>
      <c r="D500" s="4"/>
      <c r="E500" s="4"/>
      <c r="G500" s="4"/>
    </row>
    <row r="501" ht="15.75" customHeight="1">
      <c r="A501" s="4"/>
      <c r="B501" s="4"/>
      <c r="D501" s="4"/>
      <c r="E501" s="4"/>
      <c r="G501" s="4"/>
    </row>
    <row r="502" ht="15.75" customHeight="1">
      <c r="A502" s="4"/>
      <c r="B502" s="4"/>
      <c r="D502" s="4"/>
      <c r="E502" s="4"/>
      <c r="G502" s="4"/>
    </row>
    <row r="503" ht="15.75" customHeight="1">
      <c r="A503" s="4"/>
      <c r="B503" s="4"/>
      <c r="D503" s="4"/>
      <c r="E503" s="4"/>
      <c r="G503" s="4"/>
    </row>
    <row r="504" ht="15.75" customHeight="1">
      <c r="A504" s="4"/>
      <c r="B504" s="4"/>
      <c r="D504" s="4"/>
      <c r="E504" s="4"/>
      <c r="G504" s="4"/>
    </row>
    <row r="505" ht="15.75" customHeight="1">
      <c r="A505" s="4"/>
      <c r="B505" s="4"/>
      <c r="D505" s="4"/>
      <c r="E505" s="4"/>
      <c r="G505" s="4"/>
    </row>
    <row r="506" ht="15.75" customHeight="1">
      <c r="A506" s="4"/>
      <c r="B506" s="4"/>
      <c r="D506" s="4"/>
      <c r="E506" s="4"/>
      <c r="G506" s="4"/>
    </row>
    <row r="507" ht="15.75" customHeight="1">
      <c r="A507" s="4"/>
      <c r="B507" s="4"/>
      <c r="D507" s="4"/>
      <c r="E507" s="4"/>
      <c r="G507" s="4"/>
    </row>
    <row r="508" ht="15.75" customHeight="1">
      <c r="A508" s="4"/>
      <c r="B508" s="4"/>
      <c r="D508" s="4"/>
      <c r="E508" s="4"/>
      <c r="G508" s="4"/>
    </row>
    <row r="509" ht="15.75" customHeight="1">
      <c r="A509" s="4"/>
      <c r="B509" s="4"/>
      <c r="D509" s="4"/>
      <c r="E509" s="4"/>
      <c r="G509" s="4"/>
    </row>
    <row r="510" ht="15.75" customHeight="1">
      <c r="A510" s="4"/>
      <c r="B510" s="4"/>
      <c r="D510" s="4"/>
      <c r="E510" s="4"/>
      <c r="G510" s="4"/>
    </row>
    <row r="511" ht="15.75" customHeight="1">
      <c r="A511" s="4"/>
      <c r="B511" s="4"/>
      <c r="D511" s="4"/>
      <c r="E511" s="4"/>
      <c r="G511" s="4"/>
    </row>
    <row r="512" ht="15.75" customHeight="1">
      <c r="A512" s="4"/>
      <c r="B512" s="4"/>
      <c r="D512" s="4"/>
      <c r="E512" s="4"/>
      <c r="G512" s="4"/>
    </row>
    <row r="513" ht="15.75" customHeight="1">
      <c r="A513" s="4"/>
      <c r="B513" s="4"/>
      <c r="D513" s="4"/>
      <c r="E513" s="4"/>
      <c r="G513" s="4"/>
    </row>
    <row r="514" ht="15.75" customHeight="1">
      <c r="A514" s="4"/>
      <c r="B514" s="4"/>
      <c r="D514" s="4"/>
      <c r="E514" s="4"/>
      <c r="G514" s="4"/>
    </row>
    <row r="515" ht="15.75" customHeight="1">
      <c r="A515" s="4"/>
      <c r="B515" s="4"/>
      <c r="D515" s="4"/>
      <c r="E515" s="4"/>
      <c r="G515" s="4"/>
    </row>
    <row r="516" ht="15.75" customHeight="1">
      <c r="A516" s="4"/>
      <c r="B516" s="4"/>
      <c r="D516" s="4"/>
      <c r="E516" s="4"/>
      <c r="G516" s="4"/>
    </row>
    <row r="517" ht="15.75" customHeight="1">
      <c r="A517" s="4"/>
      <c r="B517" s="4"/>
      <c r="D517" s="4"/>
      <c r="E517" s="4"/>
      <c r="G517" s="4"/>
    </row>
    <row r="518" ht="15.75" customHeight="1">
      <c r="A518" s="4"/>
      <c r="B518" s="4"/>
      <c r="D518" s="4"/>
      <c r="E518" s="4"/>
      <c r="G518" s="4"/>
    </row>
    <row r="519" ht="15.75" customHeight="1">
      <c r="A519" s="4"/>
      <c r="B519" s="4"/>
      <c r="D519" s="4"/>
      <c r="E519" s="4"/>
      <c r="G519" s="4"/>
    </row>
    <row r="520" ht="15.75" customHeight="1">
      <c r="A520" s="4"/>
      <c r="B520" s="4"/>
      <c r="D520" s="4"/>
      <c r="E520" s="4"/>
      <c r="G520" s="4"/>
    </row>
    <row r="521" ht="15.75" customHeight="1">
      <c r="A521" s="4"/>
      <c r="B521" s="4"/>
      <c r="D521" s="4"/>
      <c r="E521" s="4"/>
      <c r="G521" s="4"/>
    </row>
    <row r="522" ht="15.75" customHeight="1">
      <c r="A522" s="4"/>
      <c r="B522" s="4"/>
      <c r="D522" s="4"/>
      <c r="E522" s="4"/>
      <c r="G522" s="4"/>
    </row>
    <row r="523" ht="15.75" customHeight="1">
      <c r="A523" s="4"/>
      <c r="B523" s="4"/>
      <c r="D523" s="4"/>
      <c r="E523" s="4"/>
      <c r="G523" s="4"/>
    </row>
    <row r="524" ht="15.75" customHeight="1">
      <c r="A524" s="4"/>
      <c r="B524" s="4"/>
      <c r="D524" s="4"/>
      <c r="E524" s="4"/>
      <c r="G524" s="4"/>
    </row>
    <row r="525" ht="15.75" customHeight="1">
      <c r="A525" s="4"/>
      <c r="B525" s="4"/>
      <c r="D525" s="4"/>
      <c r="E525" s="4"/>
      <c r="G525" s="4"/>
    </row>
    <row r="526" ht="15.75" customHeight="1">
      <c r="A526" s="4"/>
      <c r="B526" s="4"/>
      <c r="D526" s="4"/>
      <c r="E526" s="4"/>
      <c r="G526" s="4"/>
    </row>
    <row r="527" ht="15.75" customHeight="1">
      <c r="A527" s="4"/>
      <c r="B527" s="4"/>
      <c r="D527" s="4"/>
      <c r="E527" s="4"/>
      <c r="G527" s="4"/>
    </row>
    <row r="528" ht="15.75" customHeight="1">
      <c r="A528" s="4"/>
      <c r="B528" s="4"/>
      <c r="D528" s="4"/>
      <c r="E528" s="4"/>
      <c r="G528" s="4"/>
    </row>
    <row r="529" ht="15.75" customHeight="1">
      <c r="A529" s="4"/>
      <c r="B529" s="4"/>
      <c r="D529" s="4"/>
      <c r="E529" s="4"/>
      <c r="G529" s="4"/>
    </row>
    <row r="530" ht="15.75" customHeight="1">
      <c r="A530" s="4"/>
      <c r="B530" s="4"/>
      <c r="D530" s="4"/>
      <c r="E530" s="4"/>
      <c r="G530" s="4"/>
    </row>
    <row r="531" ht="15.75" customHeight="1">
      <c r="A531" s="4"/>
      <c r="B531" s="4"/>
      <c r="D531" s="4"/>
      <c r="E531" s="4"/>
      <c r="G531" s="4"/>
    </row>
    <row r="532" ht="15.75" customHeight="1">
      <c r="A532" s="4"/>
      <c r="B532" s="4"/>
      <c r="D532" s="4"/>
      <c r="E532" s="4"/>
      <c r="G532" s="4"/>
    </row>
    <row r="533" ht="15.75" customHeight="1">
      <c r="A533" s="4"/>
      <c r="B533" s="4"/>
      <c r="D533" s="4"/>
      <c r="E533" s="4"/>
      <c r="G533" s="4"/>
    </row>
    <row r="534" ht="15.75" customHeight="1">
      <c r="A534" s="4"/>
      <c r="B534" s="4"/>
      <c r="D534" s="4"/>
      <c r="E534" s="4"/>
      <c r="G534" s="4"/>
    </row>
    <row r="535" ht="15.75" customHeight="1">
      <c r="A535" s="4"/>
      <c r="B535" s="4"/>
      <c r="D535" s="4"/>
      <c r="E535" s="4"/>
      <c r="G535" s="4"/>
    </row>
    <row r="536" ht="15.75" customHeight="1">
      <c r="A536" s="4"/>
      <c r="B536" s="4"/>
      <c r="D536" s="4"/>
      <c r="E536" s="4"/>
      <c r="G536" s="4"/>
    </row>
    <row r="537" ht="15.75" customHeight="1">
      <c r="A537" s="4"/>
      <c r="B537" s="4"/>
      <c r="D537" s="4"/>
      <c r="E537" s="4"/>
      <c r="G537" s="4"/>
    </row>
    <row r="538" ht="15.75" customHeight="1">
      <c r="A538" s="4"/>
      <c r="B538" s="4"/>
      <c r="D538" s="4"/>
      <c r="E538" s="4"/>
      <c r="G538" s="4"/>
    </row>
    <row r="539" ht="15.75" customHeight="1">
      <c r="A539" s="4"/>
      <c r="B539" s="4"/>
      <c r="D539" s="4"/>
      <c r="E539" s="4"/>
      <c r="G539" s="4"/>
    </row>
    <row r="540" ht="15.75" customHeight="1">
      <c r="A540" s="4"/>
      <c r="B540" s="4"/>
      <c r="D540" s="4"/>
      <c r="E540" s="4"/>
      <c r="G540" s="4"/>
    </row>
    <row r="541" ht="15.75" customHeight="1">
      <c r="A541" s="4"/>
      <c r="B541" s="4"/>
      <c r="D541" s="4"/>
      <c r="E541" s="4"/>
      <c r="G541" s="4"/>
    </row>
    <row r="542" ht="15.75" customHeight="1">
      <c r="A542" s="4"/>
      <c r="B542" s="4"/>
      <c r="D542" s="4"/>
      <c r="E542" s="4"/>
      <c r="G542" s="4"/>
    </row>
    <row r="543" ht="15.75" customHeight="1">
      <c r="A543" s="4"/>
      <c r="B543" s="4"/>
      <c r="D543" s="4"/>
      <c r="E543" s="4"/>
      <c r="G543" s="4"/>
    </row>
    <row r="544" ht="15.75" customHeight="1">
      <c r="A544" s="4"/>
      <c r="B544" s="4"/>
      <c r="D544" s="4"/>
      <c r="E544" s="4"/>
      <c r="G544" s="4"/>
    </row>
    <row r="545" ht="15.75" customHeight="1">
      <c r="A545" s="4"/>
      <c r="B545" s="4"/>
      <c r="D545" s="4"/>
      <c r="E545" s="4"/>
      <c r="G545" s="4"/>
    </row>
    <row r="546" ht="15.75" customHeight="1">
      <c r="A546" s="4"/>
      <c r="B546" s="4"/>
      <c r="D546" s="4"/>
      <c r="E546" s="4"/>
      <c r="G546" s="4"/>
    </row>
    <row r="547" ht="15.75" customHeight="1">
      <c r="A547" s="4"/>
      <c r="B547" s="4"/>
      <c r="D547" s="4"/>
      <c r="E547" s="4"/>
      <c r="G547" s="4"/>
    </row>
    <row r="548" ht="15.75" customHeight="1">
      <c r="A548" s="4"/>
      <c r="B548" s="4"/>
      <c r="D548" s="4"/>
      <c r="E548" s="4"/>
      <c r="G548" s="4"/>
    </row>
    <row r="549" ht="15.75" customHeight="1">
      <c r="A549" s="4"/>
      <c r="B549" s="4"/>
      <c r="D549" s="4"/>
      <c r="E549" s="4"/>
      <c r="G549" s="4"/>
    </row>
    <row r="550" ht="15.75" customHeight="1">
      <c r="A550" s="4"/>
      <c r="B550" s="4"/>
      <c r="D550" s="4"/>
      <c r="E550" s="4"/>
      <c r="G550" s="4"/>
    </row>
    <row r="551" ht="15.75" customHeight="1">
      <c r="A551" s="4"/>
      <c r="B551" s="4"/>
      <c r="D551" s="4"/>
      <c r="E551" s="4"/>
      <c r="G551" s="4"/>
    </row>
    <row r="552" ht="15.75" customHeight="1">
      <c r="A552" s="4"/>
      <c r="B552" s="4"/>
      <c r="D552" s="4"/>
      <c r="E552" s="4"/>
      <c r="G552" s="4"/>
    </row>
    <row r="553" ht="15.75" customHeight="1">
      <c r="A553" s="4"/>
      <c r="B553" s="4"/>
      <c r="D553" s="4"/>
      <c r="E553" s="4"/>
      <c r="G553" s="4"/>
    </row>
    <row r="554" ht="15.75" customHeight="1">
      <c r="A554" s="4"/>
      <c r="B554" s="4"/>
      <c r="D554" s="4"/>
      <c r="E554" s="4"/>
      <c r="G554" s="4"/>
    </row>
    <row r="555" ht="15.75" customHeight="1">
      <c r="A555" s="4"/>
      <c r="B555" s="4"/>
      <c r="D555" s="4"/>
      <c r="E555" s="4"/>
      <c r="G555" s="4"/>
    </row>
    <row r="556" ht="15.75" customHeight="1">
      <c r="A556" s="4"/>
      <c r="B556" s="4"/>
      <c r="D556" s="4"/>
      <c r="E556" s="4"/>
      <c r="G556" s="4"/>
    </row>
    <row r="557" ht="15.75" customHeight="1">
      <c r="A557" s="4"/>
      <c r="B557" s="4"/>
      <c r="D557" s="4"/>
      <c r="E557" s="4"/>
      <c r="G557" s="4"/>
    </row>
    <row r="558" ht="15.75" customHeight="1">
      <c r="A558" s="4"/>
      <c r="B558" s="4"/>
      <c r="D558" s="4"/>
      <c r="E558" s="4"/>
      <c r="G558" s="4"/>
    </row>
    <row r="559" ht="15.75" customHeight="1">
      <c r="A559" s="4"/>
      <c r="B559" s="4"/>
      <c r="D559" s="4"/>
      <c r="E559" s="4"/>
      <c r="G559" s="4"/>
    </row>
    <row r="560" ht="15.75" customHeight="1">
      <c r="A560" s="4"/>
      <c r="B560" s="4"/>
      <c r="D560" s="4"/>
      <c r="E560" s="4"/>
      <c r="G560" s="4"/>
    </row>
    <row r="561" ht="15.75" customHeight="1">
      <c r="A561" s="4"/>
      <c r="B561" s="4"/>
      <c r="D561" s="4"/>
      <c r="E561" s="4"/>
      <c r="G561" s="4"/>
    </row>
    <row r="562" ht="15.75" customHeight="1">
      <c r="A562" s="4"/>
      <c r="B562" s="4"/>
      <c r="D562" s="4"/>
      <c r="E562" s="4"/>
      <c r="G562" s="4"/>
    </row>
    <row r="563" ht="15.75" customHeight="1">
      <c r="A563" s="4"/>
      <c r="B563" s="4"/>
      <c r="D563" s="4"/>
      <c r="E563" s="4"/>
      <c r="G563" s="4"/>
    </row>
    <row r="564" ht="15.75" customHeight="1">
      <c r="A564" s="4"/>
      <c r="B564" s="4"/>
      <c r="D564" s="4"/>
      <c r="E564" s="4"/>
      <c r="G564" s="4"/>
    </row>
    <row r="565" ht="15.75" customHeight="1">
      <c r="A565" s="4"/>
      <c r="B565" s="4"/>
      <c r="D565" s="4"/>
      <c r="E565" s="4"/>
      <c r="G565" s="4"/>
    </row>
    <row r="566" ht="15.75" customHeight="1">
      <c r="A566" s="4"/>
      <c r="B566" s="4"/>
      <c r="D566" s="4"/>
      <c r="E566" s="4"/>
      <c r="G566" s="4"/>
    </row>
    <row r="567" ht="15.75" customHeight="1">
      <c r="A567" s="4"/>
      <c r="B567" s="4"/>
      <c r="D567" s="4"/>
      <c r="E567" s="4"/>
      <c r="G567" s="4"/>
    </row>
    <row r="568" ht="15.75" customHeight="1">
      <c r="A568" s="4"/>
      <c r="B568" s="4"/>
      <c r="D568" s="4"/>
      <c r="E568" s="4"/>
      <c r="G568" s="4"/>
    </row>
    <row r="569" ht="15.75" customHeight="1">
      <c r="A569" s="4"/>
      <c r="B569" s="4"/>
      <c r="D569" s="4"/>
      <c r="E569" s="4"/>
      <c r="G569" s="4"/>
    </row>
    <row r="570" ht="15.75" customHeight="1">
      <c r="A570" s="4"/>
      <c r="B570" s="4"/>
      <c r="D570" s="4"/>
      <c r="E570" s="4"/>
      <c r="G570" s="4"/>
    </row>
    <row r="571" ht="15.75" customHeight="1">
      <c r="A571" s="4"/>
      <c r="B571" s="4"/>
      <c r="D571" s="4"/>
      <c r="E571" s="4"/>
      <c r="G571" s="4"/>
    </row>
    <row r="572" ht="15.75" customHeight="1">
      <c r="A572" s="4"/>
      <c r="B572" s="4"/>
      <c r="D572" s="4"/>
      <c r="E572" s="4"/>
      <c r="G572" s="4"/>
    </row>
    <row r="573" ht="15.75" customHeight="1">
      <c r="A573" s="4"/>
      <c r="B573" s="4"/>
      <c r="D573" s="4"/>
      <c r="E573" s="4"/>
      <c r="G573" s="4"/>
    </row>
    <row r="574" ht="15.75" customHeight="1">
      <c r="A574" s="4"/>
      <c r="B574" s="4"/>
      <c r="D574" s="4"/>
      <c r="E574" s="4"/>
      <c r="G574" s="4"/>
    </row>
    <row r="575" ht="15.75" customHeight="1">
      <c r="A575" s="4"/>
      <c r="B575" s="4"/>
      <c r="D575" s="4"/>
      <c r="E575" s="4"/>
      <c r="G575" s="4"/>
    </row>
    <row r="576" ht="15.75" customHeight="1">
      <c r="A576" s="4"/>
      <c r="B576" s="4"/>
      <c r="D576" s="4"/>
      <c r="E576" s="4"/>
      <c r="G576" s="4"/>
    </row>
    <row r="577" ht="15.75" customHeight="1">
      <c r="A577" s="4"/>
      <c r="B577" s="4"/>
      <c r="D577" s="4"/>
      <c r="E577" s="4"/>
      <c r="G577" s="4"/>
    </row>
    <row r="578" ht="15.75" customHeight="1">
      <c r="A578" s="4"/>
      <c r="B578" s="4"/>
      <c r="D578" s="4"/>
      <c r="E578" s="4"/>
      <c r="G578" s="4"/>
    </row>
    <row r="579" ht="15.75" customHeight="1">
      <c r="A579" s="4"/>
      <c r="B579" s="4"/>
      <c r="D579" s="4"/>
      <c r="E579" s="4"/>
      <c r="G579" s="4"/>
    </row>
    <row r="580" ht="15.75" customHeight="1">
      <c r="A580" s="4"/>
      <c r="B580" s="4"/>
      <c r="D580" s="4"/>
      <c r="E580" s="4"/>
      <c r="G580" s="4"/>
    </row>
    <row r="581" ht="15.75" customHeight="1">
      <c r="A581" s="4"/>
      <c r="B581" s="4"/>
      <c r="D581" s="4"/>
      <c r="E581" s="4"/>
      <c r="G581" s="4"/>
    </row>
    <row r="582" ht="15.75" customHeight="1">
      <c r="A582" s="4"/>
      <c r="B582" s="4"/>
      <c r="D582" s="4"/>
      <c r="E582" s="4"/>
      <c r="G582" s="4"/>
    </row>
    <row r="583" ht="15.75" customHeight="1">
      <c r="A583" s="4"/>
      <c r="B583" s="4"/>
      <c r="D583" s="4"/>
      <c r="E583" s="4"/>
      <c r="G583" s="4"/>
    </row>
    <row r="584" ht="15.75" customHeight="1">
      <c r="A584" s="4"/>
      <c r="B584" s="4"/>
      <c r="D584" s="4"/>
      <c r="E584" s="4"/>
      <c r="G584" s="4"/>
    </row>
    <row r="585" ht="15.75" customHeight="1">
      <c r="A585" s="4"/>
      <c r="B585" s="4"/>
      <c r="D585" s="4"/>
      <c r="E585" s="4"/>
      <c r="G585" s="4"/>
    </row>
    <row r="586" ht="15.75" customHeight="1">
      <c r="A586" s="4"/>
      <c r="B586" s="4"/>
      <c r="D586" s="4"/>
      <c r="E586" s="4"/>
      <c r="G586" s="4"/>
    </row>
    <row r="587" ht="15.75" customHeight="1">
      <c r="A587" s="4"/>
      <c r="B587" s="4"/>
      <c r="D587" s="4"/>
      <c r="E587" s="4"/>
      <c r="G587" s="4"/>
    </row>
    <row r="588" ht="15.75" customHeight="1">
      <c r="A588" s="4"/>
      <c r="B588" s="4"/>
      <c r="D588" s="4"/>
      <c r="E588" s="4"/>
      <c r="G588" s="4"/>
    </row>
    <row r="589" ht="15.75" customHeight="1">
      <c r="A589" s="4"/>
      <c r="B589" s="4"/>
      <c r="D589" s="4"/>
      <c r="E589" s="4"/>
      <c r="G589" s="4"/>
    </row>
    <row r="590" ht="15.75" customHeight="1">
      <c r="A590" s="4"/>
      <c r="B590" s="4"/>
      <c r="D590" s="4"/>
      <c r="E590" s="4"/>
      <c r="G590" s="4"/>
    </row>
    <row r="591" ht="15.75" customHeight="1">
      <c r="A591" s="4"/>
      <c r="B591" s="4"/>
      <c r="D591" s="4"/>
      <c r="E591" s="4"/>
      <c r="G591" s="4"/>
    </row>
    <row r="592" ht="15.75" customHeight="1">
      <c r="A592" s="4"/>
      <c r="B592" s="4"/>
      <c r="D592" s="4"/>
      <c r="E592" s="4"/>
      <c r="G592" s="4"/>
    </row>
    <row r="593" ht="15.75" customHeight="1">
      <c r="A593" s="4"/>
      <c r="B593" s="4"/>
      <c r="D593" s="4"/>
      <c r="E593" s="4"/>
      <c r="G593" s="4"/>
    </row>
    <row r="594" ht="15.75" customHeight="1">
      <c r="A594" s="4"/>
      <c r="B594" s="4"/>
      <c r="D594" s="4"/>
      <c r="E594" s="4"/>
      <c r="G594" s="4"/>
    </row>
    <row r="595" ht="15.75" customHeight="1">
      <c r="A595" s="4"/>
      <c r="B595" s="4"/>
      <c r="D595" s="4"/>
      <c r="E595" s="4"/>
      <c r="G595" s="4"/>
    </row>
    <row r="596" ht="15.75" customHeight="1">
      <c r="A596" s="4"/>
      <c r="B596" s="4"/>
      <c r="D596" s="4"/>
      <c r="E596" s="4"/>
      <c r="G596" s="4"/>
    </row>
    <row r="597" ht="15.75" customHeight="1">
      <c r="A597" s="4"/>
      <c r="B597" s="4"/>
      <c r="D597" s="4"/>
      <c r="E597" s="4"/>
      <c r="G597" s="4"/>
    </row>
    <row r="598" ht="15.75" customHeight="1">
      <c r="A598" s="4"/>
      <c r="B598" s="4"/>
      <c r="D598" s="4"/>
      <c r="E598" s="4"/>
      <c r="G598" s="4"/>
    </row>
    <row r="599" ht="15.75" customHeight="1">
      <c r="A599" s="4"/>
      <c r="B599" s="4"/>
      <c r="D599" s="4"/>
      <c r="E599" s="4"/>
      <c r="G599" s="4"/>
    </row>
    <row r="600" ht="15.75" customHeight="1">
      <c r="A600" s="4"/>
      <c r="B600" s="4"/>
      <c r="D600" s="4"/>
      <c r="E600" s="4"/>
      <c r="G600" s="4"/>
    </row>
    <row r="601" ht="15.75" customHeight="1">
      <c r="A601" s="4"/>
      <c r="B601" s="4"/>
      <c r="D601" s="4"/>
      <c r="E601" s="4"/>
      <c r="G601" s="4"/>
    </row>
    <row r="602" ht="15.75" customHeight="1">
      <c r="A602" s="4"/>
      <c r="B602" s="4"/>
      <c r="D602" s="4"/>
      <c r="E602" s="4"/>
      <c r="G602" s="4"/>
    </row>
    <row r="603" ht="15.75" customHeight="1">
      <c r="A603" s="4"/>
      <c r="B603" s="4"/>
      <c r="D603" s="4"/>
      <c r="E603" s="4"/>
      <c r="G603" s="4"/>
    </row>
    <row r="604" ht="15.75" customHeight="1">
      <c r="A604" s="4"/>
      <c r="B604" s="4"/>
      <c r="D604" s="4"/>
      <c r="E604" s="4"/>
      <c r="G604" s="4"/>
    </row>
    <row r="605" ht="15.75" customHeight="1">
      <c r="A605" s="4"/>
      <c r="B605" s="4"/>
      <c r="D605" s="4"/>
      <c r="E605" s="4"/>
      <c r="G605" s="4"/>
    </row>
    <row r="606" ht="15.75" customHeight="1">
      <c r="A606" s="4"/>
      <c r="B606" s="4"/>
      <c r="D606" s="4"/>
      <c r="E606" s="4"/>
      <c r="G606" s="4"/>
    </row>
    <row r="607" ht="15.75" customHeight="1">
      <c r="A607" s="4"/>
      <c r="B607" s="4"/>
      <c r="D607" s="4"/>
      <c r="E607" s="4"/>
      <c r="G607" s="4"/>
    </row>
    <row r="608" ht="15.75" customHeight="1">
      <c r="A608" s="4"/>
      <c r="B608" s="4"/>
      <c r="D608" s="4"/>
      <c r="E608" s="4"/>
      <c r="G608" s="4"/>
    </row>
    <row r="609" ht="15.75" customHeight="1">
      <c r="A609" s="4"/>
      <c r="B609" s="4"/>
      <c r="D609" s="4"/>
      <c r="E609" s="4"/>
      <c r="G609" s="4"/>
    </row>
    <row r="610" ht="15.75" customHeight="1">
      <c r="A610" s="4"/>
      <c r="B610" s="4"/>
      <c r="D610" s="4"/>
      <c r="E610" s="4"/>
      <c r="G610" s="4"/>
    </row>
    <row r="611" ht="15.75" customHeight="1">
      <c r="A611" s="4"/>
      <c r="B611" s="4"/>
      <c r="D611" s="4"/>
      <c r="E611" s="4"/>
      <c r="G611" s="4"/>
    </row>
    <row r="612" ht="15.75" customHeight="1">
      <c r="A612" s="4"/>
      <c r="B612" s="4"/>
      <c r="D612" s="4"/>
      <c r="E612" s="4"/>
      <c r="G612" s="4"/>
    </row>
    <row r="613" ht="15.75" customHeight="1">
      <c r="A613" s="4"/>
      <c r="B613" s="4"/>
      <c r="D613" s="4"/>
      <c r="E613" s="4"/>
      <c r="G613" s="4"/>
    </row>
    <row r="614" ht="15.75" customHeight="1">
      <c r="A614" s="4"/>
      <c r="B614" s="4"/>
      <c r="D614" s="4"/>
      <c r="E614" s="4"/>
      <c r="G614" s="4"/>
    </row>
    <row r="615" ht="15.75" customHeight="1">
      <c r="A615" s="4"/>
      <c r="B615" s="4"/>
      <c r="D615" s="4"/>
      <c r="E615" s="4"/>
      <c r="G615" s="4"/>
    </row>
    <row r="616" ht="15.75" customHeight="1">
      <c r="A616" s="4"/>
      <c r="B616" s="4"/>
      <c r="D616" s="4"/>
      <c r="E616" s="4"/>
      <c r="G616" s="4"/>
    </row>
    <row r="617" ht="15.75" customHeight="1">
      <c r="A617" s="4"/>
      <c r="B617" s="4"/>
      <c r="D617" s="4"/>
      <c r="E617" s="4"/>
      <c r="G617" s="4"/>
    </row>
    <row r="618" ht="15.75" customHeight="1">
      <c r="A618" s="4"/>
      <c r="B618" s="4"/>
      <c r="D618" s="4"/>
      <c r="E618" s="4"/>
      <c r="G618" s="4"/>
    </row>
    <row r="619" ht="15.75" customHeight="1">
      <c r="A619" s="4"/>
      <c r="B619" s="4"/>
      <c r="D619" s="4"/>
      <c r="E619" s="4"/>
      <c r="G619" s="4"/>
    </row>
    <row r="620" ht="15.75" customHeight="1">
      <c r="A620" s="4"/>
      <c r="B620" s="4"/>
      <c r="D620" s="4"/>
      <c r="E620" s="4"/>
      <c r="G620" s="4"/>
    </row>
    <row r="621" ht="15.75" customHeight="1">
      <c r="A621" s="4"/>
      <c r="B621" s="4"/>
      <c r="D621" s="4"/>
      <c r="E621" s="4"/>
      <c r="G621" s="4"/>
    </row>
    <row r="622" ht="15.75" customHeight="1">
      <c r="A622" s="4"/>
      <c r="B622" s="4"/>
      <c r="D622" s="4"/>
      <c r="E622" s="4"/>
      <c r="G622" s="4"/>
    </row>
    <row r="623" ht="15.75" customHeight="1">
      <c r="A623" s="4"/>
      <c r="B623" s="4"/>
      <c r="D623" s="4"/>
      <c r="E623" s="4"/>
      <c r="G623" s="4"/>
    </row>
    <row r="624" ht="15.75" customHeight="1">
      <c r="A624" s="4"/>
      <c r="B624" s="4"/>
      <c r="D624" s="4"/>
      <c r="E624" s="4"/>
      <c r="G624" s="4"/>
    </row>
    <row r="625" ht="15.75" customHeight="1">
      <c r="A625" s="4"/>
      <c r="B625" s="4"/>
      <c r="D625" s="4"/>
      <c r="E625" s="4"/>
      <c r="G625" s="4"/>
    </row>
    <row r="626" ht="15.75" customHeight="1">
      <c r="A626" s="4"/>
      <c r="B626" s="4"/>
      <c r="D626" s="4"/>
      <c r="E626" s="4"/>
      <c r="G626" s="4"/>
    </row>
    <row r="627" ht="15.75" customHeight="1">
      <c r="A627" s="4"/>
      <c r="B627" s="4"/>
      <c r="D627" s="4"/>
      <c r="E627" s="4"/>
      <c r="G627" s="4"/>
    </row>
    <row r="628" ht="15.75" customHeight="1">
      <c r="A628" s="4"/>
      <c r="B628" s="4"/>
      <c r="D628" s="4"/>
      <c r="E628" s="4"/>
      <c r="G628" s="4"/>
    </row>
    <row r="629" ht="15.75" customHeight="1">
      <c r="A629" s="4"/>
      <c r="B629" s="4"/>
      <c r="D629" s="4"/>
      <c r="E629" s="4"/>
      <c r="G629" s="4"/>
    </row>
    <row r="630" ht="15.75" customHeight="1">
      <c r="A630" s="4"/>
      <c r="B630" s="4"/>
      <c r="D630" s="4"/>
      <c r="E630" s="4"/>
      <c r="G630" s="4"/>
    </row>
    <row r="631" ht="15.75" customHeight="1">
      <c r="A631" s="4"/>
      <c r="B631" s="4"/>
      <c r="D631" s="4"/>
      <c r="E631" s="4"/>
      <c r="G631" s="4"/>
    </row>
    <row r="632" ht="15.75" customHeight="1">
      <c r="A632" s="4"/>
      <c r="B632" s="4"/>
      <c r="D632" s="4"/>
      <c r="E632" s="4"/>
      <c r="G632" s="4"/>
    </row>
    <row r="633" ht="15.75" customHeight="1">
      <c r="A633" s="4"/>
      <c r="B633" s="4"/>
      <c r="D633" s="4"/>
      <c r="E633" s="4"/>
      <c r="G633" s="4"/>
    </row>
    <row r="634" ht="15.75" customHeight="1">
      <c r="A634" s="4"/>
      <c r="B634" s="4"/>
      <c r="D634" s="4"/>
      <c r="E634" s="4"/>
      <c r="G634" s="4"/>
    </row>
    <row r="635" ht="15.75" customHeight="1">
      <c r="A635" s="4"/>
      <c r="B635" s="4"/>
      <c r="D635" s="4"/>
      <c r="E635" s="4"/>
      <c r="G635" s="4"/>
    </row>
    <row r="636" ht="15.75" customHeight="1">
      <c r="A636" s="4"/>
      <c r="B636" s="4"/>
      <c r="D636" s="4"/>
      <c r="E636" s="4"/>
      <c r="G636" s="4"/>
    </row>
    <row r="637" ht="15.75" customHeight="1">
      <c r="A637" s="4"/>
      <c r="B637" s="4"/>
      <c r="D637" s="4"/>
      <c r="E637" s="4"/>
      <c r="G637" s="4"/>
    </row>
    <row r="638" ht="15.75" customHeight="1">
      <c r="A638" s="4"/>
      <c r="B638" s="4"/>
      <c r="D638" s="4"/>
      <c r="E638" s="4"/>
      <c r="G638" s="4"/>
    </row>
    <row r="639" ht="15.75" customHeight="1">
      <c r="A639" s="4"/>
      <c r="B639" s="4"/>
      <c r="D639" s="4"/>
      <c r="E639" s="4"/>
      <c r="G639" s="4"/>
    </row>
    <row r="640" ht="15.75" customHeight="1">
      <c r="A640" s="4"/>
      <c r="B640" s="4"/>
      <c r="D640" s="4"/>
      <c r="E640" s="4"/>
      <c r="G640" s="4"/>
    </row>
    <row r="641" ht="15.75" customHeight="1">
      <c r="A641" s="4"/>
      <c r="B641" s="4"/>
      <c r="D641" s="4"/>
      <c r="E641" s="4"/>
      <c r="G641" s="4"/>
    </row>
    <row r="642" ht="15.75" customHeight="1">
      <c r="A642" s="4"/>
      <c r="B642" s="4"/>
      <c r="D642" s="4"/>
      <c r="E642" s="4"/>
      <c r="G642" s="4"/>
    </row>
    <row r="643" ht="15.75" customHeight="1">
      <c r="A643" s="4"/>
      <c r="B643" s="4"/>
      <c r="D643" s="4"/>
      <c r="E643" s="4"/>
      <c r="G643" s="4"/>
    </row>
    <row r="644" ht="15.75" customHeight="1">
      <c r="A644" s="4"/>
      <c r="B644" s="4"/>
      <c r="D644" s="4"/>
      <c r="E644" s="4"/>
      <c r="G644" s="4"/>
    </row>
    <row r="645" ht="15.75" customHeight="1">
      <c r="A645" s="4"/>
      <c r="B645" s="4"/>
      <c r="D645" s="4"/>
      <c r="E645" s="4"/>
      <c r="G645" s="4"/>
    </row>
    <row r="646" ht="15.75" customHeight="1">
      <c r="A646" s="4"/>
      <c r="B646" s="4"/>
      <c r="D646" s="4"/>
      <c r="E646" s="4"/>
      <c r="G646" s="4"/>
    </row>
    <row r="647" ht="15.75" customHeight="1">
      <c r="A647" s="4"/>
      <c r="B647" s="4"/>
      <c r="D647" s="4"/>
      <c r="E647" s="4"/>
      <c r="G647" s="4"/>
    </row>
    <row r="648" ht="15.75" customHeight="1">
      <c r="A648" s="4"/>
      <c r="B648" s="4"/>
      <c r="D648" s="4"/>
      <c r="E648" s="4"/>
      <c r="G648" s="4"/>
    </row>
    <row r="649" ht="15.75" customHeight="1">
      <c r="A649" s="4"/>
      <c r="B649" s="4"/>
      <c r="D649" s="4"/>
      <c r="E649" s="4"/>
      <c r="G649" s="4"/>
    </row>
    <row r="650" ht="15.75" customHeight="1">
      <c r="A650" s="4"/>
      <c r="B650" s="4"/>
      <c r="D650" s="4"/>
      <c r="E650" s="4"/>
      <c r="G650" s="4"/>
    </row>
    <row r="651" ht="15.75" customHeight="1">
      <c r="A651" s="4"/>
      <c r="B651" s="4"/>
      <c r="D651" s="4"/>
      <c r="E651" s="4"/>
      <c r="G651" s="4"/>
    </row>
    <row r="652" ht="15.75" customHeight="1">
      <c r="A652" s="4"/>
      <c r="B652" s="4"/>
      <c r="D652" s="4"/>
      <c r="E652" s="4"/>
      <c r="G652" s="4"/>
    </row>
    <row r="653" ht="15.75" customHeight="1">
      <c r="A653" s="4"/>
      <c r="B653" s="4"/>
      <c r="D653" s="4"/>
      <c r="E653" s="4"/>
      <c r="G653" s="4"/>
    </row>
    <row r="654" ht="15.75" customHeight="1">
      <c r="A654" s="4"/>
      <c r="B654" s="4"/>
      <c r="D654" s="4"/>
      <c r="E654" s="4"/>
      <c r="G654" s="4"/>
    </row>
    <row r="655" ht="15.75" customHeight="1">
      <c r="A655" s="4"/>
      <c r="B655" s="4"/>
      <c r="D655" s="4"/>
      <c r="E655" s="4"/>
      <c r="G655" s="4"/>
    </row>
    <row r="656" ht="15.75" customHeight="1">
      <c r="A656" s="4"/>
      <c r="B656" s="4"/>
      <c r="D656" s="4"/>
      <c r="E656" s="4"/>
      <c r="G656" s="4"/>
    </row>
    <row r="657" ht="15.75" customHeight="1">
      <c r="A657" s="4"/>
      <c r="B657" s="4"/>
      <c r="D657" s="4"/>
      <c r="E657" s="4"/>
      <c r="G657" s="4"/>
    </row>
    <row r="658" ht="15.75" customHeight="1">
      <c r="A658" s="4"/>
      <c r="B658" s="4"/>
      <c r="D658" s="4"/>
      <c r="E658" s="4"/>
      <c r="G658" s="4"/>
    </row>
    <row r="659" ht="15.75" customHeight="1">
      <c r="A659" s="4"/>
      <c r="B659" s="4"/>
      <c r="D659" s="4"/>
      <c r="E659" s="4"/>
      <c r="G659" s="4"/>
    </row>
    <row r="660" ht="15.75" customHeight="1">
      <c r="A660" s="4"/>
      <c r="B660" s="4"/>
      <c r="D660" s="4"/>
      <c r="E660" s="4"/>
      <c r="G660" s="4"/>
    </row>
    <row r="661" ht="15.75" customHeight="1">
      <c r="A661" s="4"/>
      <c r="B661" s="4"/>
      <c r="D661" s="4"/>
      <c r="E661" s="4"/>
      <c r="G661" s="4"/>
    </row>
    <row r="662" ht="15.75" customHeight="1">
      <c r="A662" s="4"/>
      <c r="B662" s="4"/>
      <c r="D662" s="4"/>
      <c r="E662" s="4"/>
      <c r="G662" s="4"/>
    </row>
    <row r="663" ht="15.75" customHeight="1">
      <c r="A663" s="4"/>
      <c r="B663" s="4"/>
      <c r="D663" s="4"/>
      <c r="E663" s="4"/>
      <c r="G663" s="4"/>
    </row>
    <row r="664" ht="15.75" customHeight="1">
      <c r="A664" s="4"/>
      <c r="B664" s="4"/>
      <c r="D664" s="4"/>
      <c r="E664" s="4"/>
      <c r="G664" s="4"/>
    </row>
    <row r="665" ht="15.75" customHeight="1">
      <c r="A665" s="4"/>
      <c r="B665" s="4"/>
      <c r="D665" s="4"/>
      <c r="E665" s="4"/>
      <c r="G665" s="4"/>
    </row>
    <row r="666" ht="15.75" customHeight="1">
      <c r="A666" s="4"/>
      <c r="B666" s="4"/>
      <c r="D666" s="4"/>
      <c r="E666" s="4"/>
      <c r="G666" s="4"/>
    </row>
    <row r="667" ht="15.75" customHeight="1">
      <c r="A667" s="4"/>
      <c r="B667" s="4"/>
      <c r="D667" s="4"/>
      <c r="E667" s="4"/>
      <c r="G667" s="4"/>
    </row>
    <row r="668" ht="15.75" customHeight="1">
      <c r="A668" s="4"/>
      <c r="B668" s="4"/>
      <c r="D668" s="4"/>
      <c r="E668" s="4"/>
      <c r="G668" s="4"/>
    </row>
    <row r="669" ht="15.75" customHeight="1">
      <c r="A669" s="4"/>
      <c r="B669" s="4"/>
      <c r="D669" s="4"/>
      <c r="E669" s="4"/>
      <c r="G669" s="4"/>
    </row>
    <row r="670" ht="15.75" customHeight="1">
      <c r="A670" s="4"/>
      <c r="B670" s="4"/>
      <c r="D670" s="4"/>
      <c r="E670" s="4"/>
      <c r="G670" s="4"/>
    </row>
    <row r="671" ht="15.75" customHeight="1">
      <c r="A671" s="4"/>
      <c r="B671" s="4"/>
      <c r="D671" s="4"/>
      <c r="E671" s="4"/>
      <c r="G671" s="4"/>
    </row>
    <row r="672" ht="15.75" customHeight="1">
      <c r="A672" s="4"/>
      <c r="B672" s="4"/>
      <c r="D672" s="4"/>
      <c r="E672" s="4"/>
      <c r="G672" s="4"/>
    </row>
    <row r="673" ht="15.75" customHeight="1">
      <c r="A673" s="4"/>
      <c r="B673" s="4"/>
      <c r="D673" s="4"/>
      <c r="E673" s="4"/>
      <c r="G673" s="4"/>
    </row>
    <row r="674" ht="15.75" customHeight="1">
      <c r="A674" s="4"/>
      <c r="B674" s="4"/>
      <c r="D674" s="4"/>
      <c r="E674" s="4"/>
      <c r="G674" s="4"/>
    </row>
    <row r="675" ht="15.75" customHeight="1">
      <c r="A675" s="4"/>
      <c r="B675" s="4"/>
      <c r="D675" s="4"/>
      <c r="E675" s="4"/>
      <c r="G675" s="4"/>
    </row>
    <row r="676" ht="15.75" customHeight="1">
      <c r="A676" s="4"/>
      <c r="B676" s="4"/>
      <c r="D676" s="4"/>
      <c r="E676" s="4"/>
      <c r="G676" s="4"/>
    </row>
    <row r="677" ht="15.75" customHeight="1">
      <c r="A677" s="4"/>
      <c r="B677" s="4"/>
      <c r="D677" s="4"/>
      <c r="E677" s="4"/>
      <c r="G677" s="4"/>
    </row>
    <row r="678" ht="15.75" customHeight="1">
      <c r="A678" s="4"/>
      <c r="B678" s="4"/>
      <c r="D678" s="4"/>
      <c r="E678" s="4"/>
      <c r="G678" s="4"/>
    </row>
    <row r="679" ht="15.75" customHeight="1">
      <c r="A679" s="4"/>
      <c r="B679" s="4"/>
      <c r="D679" s="4"/>
      <c r="E679" s="4"/>
      <c r="G679" s="4"/>
    </row>
    <row r="680" ht="15.75" customHeight="1">
      <c r="A680" s="4"/>
      <c r="B680" s="4"/>
      <c r="D680" s="4"/>
      <c r="E680" s="4"/>
      <c r="G680" s="4"/>
    </row>
    <row r="681" ht="15.75" customHeight="1">
      <c r="A681" s="4"/>
      <c r="B681" s="4"/>
      <c r="D681" s="4"/>
      <c r="E681" s="4"/>
      <c r="G681" s="4"/>
    </row>
    <row r="682" ht="15.75" customHeight="1">
      <c r="A682" s="4"/>
      <c r="B682" s="4"/>
      <c r="D682" s="4"/>
      <c r="E682" s="4"/>
      <c r="G682" s="4"/>
    </row>
    <row r="683" ht="15.75" customHeight="1">
      <c r="A683" s="4"/>
      <c r="B683" s="4"/>
      <c r="D683" s="4"/>
      <c r="E683" s="4"/>
      <c r="G683" s="4"/>
    </row>
    <row r="684" ht="15.75" customHeight="1">
      <c r="A684" s="4"/>
      <c r="B684" s="4"/>
      <c r="D684" s="4"/>
      <c r="E684" s="4"/>
      <c r="G684" s="4"/>
    </row>
    <row r="685" ht="15.75" customHeight="1">
      <c r="A685" s="4"/>
      <c r="B685" s="4"/>
      <c r="D685" s="4"/>
      <c r="E685" s="4"/>
      <c r="G685" s="4"/>
    </row>
    <row r="686" ht="15.75" customHeight="1">
      <c r="A686" s="4"/>
      <c r="B686" s="4"/>
      <c r="D686" s="4"/>
      <c r="E686" s="4"/>
      <c r="G686" s="4"/>
    </row>
    <row r="687" ht="15.75" customHeight="1">
      <c r="A687" s="4"/>
      <c r="B687" s="4"/>
      <c r="D687" s="4"/>
      <c r="E687" s="4"/>
      <c r="G687" s="4"/>
    </row>
    <row r="688" ht="15.75" customHeight="1">
      <c r="A688" s="4"/>
      <c r="B688" s="4"/>
      <c r="D688" s="4"/>
      <c r="E688" s="4"/>
      <c r="G688" s="4"/>
    </row>
    <row r="689" ht="15.75" customHeight="1">
      <c r="A689" s="4"/>
      <c r="B689" s="4"/>
      <c r="D689" s="4"/>
      <c r="E689" s="4"/>
      <c r="G689" s="4"/>
    </row>
    <row r="690" ht="15.75" customHeight="1">
      <c r="A690" s="4"/>
      <c r="B690" s="4"/>
      <c r="D690" s="4"/>
      <c r="E690" s="4"/>
      <c r="G690" s="4"/>
    </row>
    <row r="691" ht="15.75" customHeight="1">
      <c r="A691" s="4"/>
      <c r="B691" s="4"/>
      <c r="D691" s="4"/>
      <c r="E691" s="4"/>
      <c r="G691" s="4"/>
    </row>
    <row r="692" ht="15.75" customHeight="1">
      <c r="A692" s="4"/>
      <c r="B692" s="4"/>
      <c r="D692" s="4"/>
      <c r="E692" s="4"/>
      <c r="G692" s="4"/>
    </row>
    <row r="693" ht="15.75" customHeight="1">
      <c r="A693" s="4"/>
      <c r="B693" s="4"/>
      <c r="D693" s="4"/>
      <c r="E693" s="4"/>
      <c r="G693" s="4"/>
    </row>
    <row r="694" ht="15.75" customHeight="1">
      <c r="A694" s="4"/>
      <c r="B694" s="4"/>
      <c r="D694" s="4"/>
      <c r="E694" s="4"/>
      <c r="G694" s="4"/>
    </row>
    <row r="695" ht="15.75" customHeight="1">
      <c r="A695" s="4"/>
      <c r="B695" s="4"/>
      <c r="D695" s="4"/>
      <c r="E695" s="4"/>
      <c r="G695" s="4"/>
    </row>
    <row r="696" ht="15.75" customHeight="1">
      <c r="A696" s="4"/>
      <c r="B696" s="4"/>
      <c r="D696" s="4"/>
      <c r="E696" s="4"/>
      <c r="G696" s="4"/>
    </row>
    <row r="697" ht="15.75" customHeight="1">
      <c r="A697" s="4"/>
      <c r="B697" s="4"/>
      <c r="D697" s="4"/>
      <c r="E697" s="4"/>
      <c r="G697" s="4"/>
    </row>
    <row r="698" ht="15.75" customHeight="1">
      <c r="A698" s="4"/>
      <c r="B698" s="4"/>
      <c r="D698" s="4"/>
      <c r="E698" s="4"/>
      <c r="G698" s="4"/>
    </row>
    <row r="699" ht="15.75" customHeight="1">
      <c r="A699" s="4"/>
      <c r="B699" s="4"/>
      <c r="D699" s="4"/>
      <c r="E699" s="4"/>
      <c r="G699" s="4"/>
    </row>
    <row r="700" ht="15.75" customHeight="1">
      <c r="A700" s="4"/>
      <c r="B700" s="4"/>
      <c r="D700" s="4"/>
      <c r="E700" s="4"/>
      <c r="G700" s="4"/>
    </row>
    <row r="701" ht="15.75" customHeight="1">
      <c r="A701" s="4"/>
      <c r="B701" s="4"/>
      <c r="D701" s="4"/>
      <c r="E701" s="4"/>
      <c r="G701" s="4"/>
    </row>
    <row r="702" ht="15.75" customHeight="1">
      <c r="A702" s="4"/>
      <c r="B702" s="4"/>
      <c r="D702" s="4"/>
      <c r="E702" s="4"/>
      <c r="G702" s="4"/>
    </row>
    <row r="703" ht="15.75" customHeight="1">
      <c r="A703" s="4"/>
      <c r="B703" s="4"/>
      <c r="D703" s="4"/>
      <c r="E703" s="4"/>
      <c r="G703" s="4"/>
    </row>
    <row r="704" ht="15.75" customHeight="1">
      <c r="A704" s="4"/>
      <c r="B704" s="4"/>
      <c r="D704" s="4"/>
      <c r="E704" s="4"/>
      <c r="G704" s="4"/>
    </row>
    <row r="705" ht="15.75" customHeight="1">
      <c r="A705" s="4"/>
      <c r="B705" s="4"/>
      <c r="D705" s="4"/>
      <c r="E705" s="4"/>
      <c r="G705" s="4"/>
    </row>
    <row r="706" ht="15.75" customHeight="1">
      <c r="A706" s="4"/>
      <c r="B706" s="4"/>
      <c r="D706" s="4"/>
      <c r="E706" s="4"/>
      <c r="G706" s="4"/>
    </row>
    <row r="707" ht="15.75" customHeight="1">
      <c r="A707" s="4"/>
      <c r="B707" s="4"/>
      <c r="D707" s="4"/>
      <c r="E707" s="4"/>
      <c r="G707" s="4"/>
    </row>
    <row r="708" ht="15.75" customHeight="1">
      <c r="A708" s="4"/>
      <c r="B708" s="4"/>
      <c r="D708" s="4"/>
      <c r="E708" s="4"/>
      <c r="G708" s="4"/>
    </row>
    <row r="709" ht="15.75" customHeight="1">
      <c r="A709" s="4"/>
      <c r="B709" s="4"/>
      <c r="D709" s="4"/>
      <c r="E709" s="4"/>
      <c r="G709" s="4"/>
    </row>
    <row r="710" ht="15.75" customHeight="1">
      <c r="A710" s="4"/>
      <c r="B710" s="4"/>
      <c r="D710" s="4"/>
      <c r="E710" s="4"/>
      <c r="G710" s="4"/>
    </row>
    <row r="711" ht="15.75" customHeight="1">
      <c r="A711" s="4"/>
      <c r="B711" s="4"/>
      <c r="D711" s="4"/>
      <c r="E711" s="4"/>
      <c r="G711" s="4"/>
    </row>
    <row r="712" ht="15.75" customHeight="1">
      <c r="A712" s="4"/>
      <c r="B712" s="4"/>
      <c r="D712" s="4"/>
      <c r="E712" s="4"/>
      <c r="G712" s="4"/>
    </row>
    <row r="713" ht="15.75" customHeight="1">
      <c r="A713" s="4"/>
      <c r="B713" s="4"/>
      <c r="D713" s="4"/>
      <c r="E713" s="4"/>
      <c r="G713" s="4"/>
    </row>
    <row r="714" ht="15.75" customHeight="1">
      <c r="A714" s="4"/>
      <c r="B714" s="4"/>
      <c r="D714" s="4"/>
      <c r="E714" s="4"/>
      <c r="G714" s="4"/>
    </row>
    <row r="715" ht="15.75" customHeight="1">
      <c r="A715" s="4"/>
      <c r="B715" s="4"/>
      <c r="D715" s="4"/>
      <c r="E715" s="4"/>
      <c r="G715" s="4"/>
    </row>
    <row r="716" ht="15.75" customHeight="1">
      <c r="A716" s="4"/>
      <c r="B716" s="4"/>
      <c r="D716" s="4"/>
      <c r="E716" s="4"/>
      <c r="G716" s="4"/>
    </row>
    <row r="717" ht="15.75" customHeight="1">
      <c r="A717" s="4"/>
      <c r="B717" s="4"/>
      <c r="D717" s="4"/>
      <c r="E717" s="4"/>
      <c r="G717" s="4"/>
    </row>
    <row r="718" ht="15.75" customHeight="1">
      <c r="A718" s="4"/>
      <c r="B718" s="4"/>
      <c r="D718" s="4"/>
      <c r="E718" s="4"/>
      <c r="G718" s="4"/>
    </row>
    <row r="719" ht="15.75" customHeight="1">
      <c r="A719" s="4"/>
      <c r="B719" s="4"/>
      <c r="D719" s="4"/>
      <c r="E719" s="4"/>
      <c r="G719" s="4"/>
    </row>
    <row r="720" ht="15.75" customHeight="1">
      <c r="A720" s="4"/>
      <c r="B720" s="4"/>
      <c r="D720" s="4"/>
      <c r="E720" s="4"/>
      <c r="G720" s="4"/>
    </row>
    <row r="721" ht="15.75" customHeight="1">
      <c r="A721" s="4"/>
      <c r="B721" s="4"/>
      <c r="D721" s="4"/>
      <c r="E721" s="4"/>
      <c r="G721" s="4"/>
    </row>
    <row r="722" ht="15.75" customHeight="1">
      <c r="A722" s="4"/>
      <c r="B722" s="4"/>
      <c r="D722" s="4"/>
      <c r="E722" s="4"/>
      <c r="G722" s="4"/>
    </row>
    <row r="723" ht="15.75" customHeight="1">
      <c r="A723" s="4"/>
      <c r="B723" s="4"/>
      <c r="D723" s="4"/>
      <c r="E723" s="4"/>
      <c r="G723" s="4"/>
    </row>
    <row r="724" ht="15.75" customHeight="1">
      <c r="A724" s="4"/>
      <c r="B724" s="4"/>
      <c r="D724" s="4"/>
      <c r="E724" s="4"/>
      <c r="G724" s="4"/>
    </row>
    <row r="725" ht="15.75" customHeight="1">
      <c r="A725" s="4"/>
      <c r="B725" s="4"/>
      <c r="D725" s="4"/>
      <c r="E725" s="4"/>
      <c r="G725" s="4"/>
    </row>
    <row r="726" ht="15.75" customHeight="1">
      <c r="A726" s="4"/>
      <c r="B726" s="4"/>
      <c r="D726" s="4"/>
      <c r="E726" s="4"/>
      <c r="G726" s="4"/>
    </row>
    <row r="727" ht="15.75" customHeight="1">
      <c r="A727" s="4"/>
      <c r="B727" s="4"/>
      <c r="D727" s="4"/>
      <c r="E727" s="4"/>
      <c r="G727" s="4"/>
    </row>
    <row r="728" ht="15.75" customHeight="1">
      <c r="A728" s="4"/>
      <c r="B728" s="4"/>
      <c r="D728" s="4"/>
      <c r="E728" s="4"/>
      <c r="G728" s="4"/>
    </row>
    <row r="729" ht="15.75" customHeight="1">
      <c r="A729" s="4"/>
      <c r="B729" s="4"/>
      <c r="D729" s="4"/>
      <c r="E729" s="4"/>
      <c r="G729" s="4"/>
    </row>
    <row r="730" ht="15.75" customHeight="1">
      <c r="A730" s="4"/>
      <c r="B730" s="4"/>
      <c r="D730" s="4"/>
      <c r="E730" s="4"/>
      <c r="G730" s="4"/>
    </row>
    <row r="731" ht="15.75" customHeight="1">
      <c r="A731" s="4"/>
      <c r="B731" s="4"/>
      <c r="D731" s="4"/>
      <c r="E731" s="4"/>
      <c r="G731" s="4"/>
    </row>
    <row r="732" ht="15.75" customHeight="1">
      <c r="A732" s="4"/>
      <c r="B732" s="4"/>
      <c r="D732" s="4"/>
      <c r="E732" s="4"/>
      <c r="G732" s="4"/>
    </row>
    <row r="733" ht="15.75" customHeight="1">
      <c r="A733" s="4"/>
      <c r="B733" s="4"/>
      <c r="D733" s="4"/>
      <c r="E733" s="4"/>
      <c r="G733" s="4"/>
    </row>
    <row r="734" ht="15.75" customHeight="1">
      <c r="A734" s="4"/>
      <c r="B734" s="4"/>
      <c r="D734" s="4"/>
      <c r="E734" s="4"/>
      <c r="G734" s="4"/>
    </row>
    <row r="735" ht="15.75" customHeight="1">
      <c r="A735" s="4"/>
      <c r="B735" s="4"/>
      <c r="D735" s="4"/>
      <c r="E735" s="4"/>
      <c r="G735" s="4"/>
    </row>
    <row r="736" ht="15.75" customHeight="1">
      <c r="A736" s="4"/>
      <c r="B736" s="4"/>
      <c r="D736" s="4"/>
      <c r="E736" s="4"/>
      <c r="G736" s="4"/>
    </row>
    <row r="737" ht="15.75" customHeight="1">
      <c r="A737" s="4"/>
      <c r="B737" s="4"/>
      <c r="D737" s="4"/>
      <c r="E737" s="4"/>
      <c r="G737" s="4"/>
    </row>
    <row r="738" ht="15.75" customHeight="1">
      <c r="A738" s="4"/>
      <c r="B738" s="4"/>
      <c r="D738" s="4"/>
      <c r="E738" s="4"/>
      <c r="G738" s="4"/>
    </row>
    <row r="739" ht="15.75" customHeight="1">
      <c r="A739" s="4"/>
      <c r="B739" s="4"/>
      <c r="D739" s="4"/>
      <c r="E739" s="4"/>
      <c r="G739" s="4"/>
    </row>
    <row r="740" ht="15.75" customHeight="1">
      <c r="A740" s="4"/>
      <c r="B740" s="4"/>
      <c r="D740" s="4"/>
      <c r="E740" s="4"/>
      <c r="G740" s="4"/>
    </row>
    <row r="741" ht="15.75" customHeight="1">
      <c r="A741" s="4"/>
      <c r="B741" s="4"/>
      <c r="D741" s="4"/>
      <c r="E741" s="4"/>
      <c r="G741" s="4"/>
    </row>
    <row r="742" ht="15.75" customHeight="1">
      <c r="A742" s="4"/>
      <c r="B742" s="4"/>
      <c r="D742" s="4"/>
      <c r="E742" s="4"/>
      <c r="G742" s="4"/>
    </row>
    <row r="743" ht="15.75" customHeight="1">
      <c r="A743" s="4"/>
      <c r="B743" s="4"/>
      <c r="D743" s="4"/>
      <c r="E743" s="4"/>
      <c r="G743" s="4"/>
    </row>
    <row r="744" ht="15.75" customHeight="1">
      <c r="A744" s="4"/>
      <c r="B744" s="4"/>
      <c r="D744" s="4"/>
      <c r="E744" s="4"/>
      <c r="G744" s="4"/>
    </row>
    <row r="745" ht="15.75" customHeight="1">
      <c r="A745" s="4"/>
      <c r="B745" s="4"/>
      <c r="D745" s="4"/>
      <c r="E745" s="4"/>
      <c r="G745" s="4"/>
    </row>
    <row r="746" ht="15.75" customHeight="1">
      <c r="A746" s="4"/>
      <c r="B746" s="4"/>
      <c r="D746" s="4"/>
      <c r="E746" s="4"/>
      <c r="G746" s="4"/>
    </row>
    <row r="747" ht="15.75" customHeight="1">
      <c r="A747" s="4"/>
      <c r="B747" s="4"/>
      <c r="D747" s="4"/>
      <c r="E747" s="4"/>
      <c r="G747" s="4"/>
    </row>
    <row r="748" ht="15.75" customHeight="1">
      <c r="A748" s="4"/>
      <c r="B748" s="4"/>
      <c r="D748" s="4"/>
      <c r="E748" s="4"/>
      <c r="G748" s="4"/>
    </row>
    <row r="749" ht="15.75" customHeight="1">
      <c r="A749" s="4"/>
      <c r="B749" s="4"/>
      <c r="D749" s="4"/>
      <c r="E749" s="4"/>
      <c r="G749" s="4"/>
    </row>
    <row r="750" ht="15.75" customHeight="1">
      <c r="A750" s="4"/>
      <c r="B750" s="4"/>
      <c r="D750" s="4"/>
      <c r="E750" s="4"/>
      <c r="G750" s="4"/>
    </row>
    <row r="751" ht="15.75" customHeight="1">
      <c r="A751" s="4"/>
      <c r="B751" s="4"/>
      <c r="D751" s="4"/>
      <c r="E751" s="4"/>
      <c r="G751" s="4"/>
    </row>
    <row r="752" ht="15.75" customHeight="1">
      <c r="A752" s="4"/>
      <c r="B752" s="4"/>
      <c r="D752" s="4"/>
      <c r="E752" s="4"/>
      <c r="G752" s="4"/>
    </row>
    <row r="753" ht="15.75" customHeight="1">
      <c r="A753" s="4"/>
      <c r="B753" s="4"/>
      <c r="D753" s="4"/>
      <c r="E753" s="4"/>
      <c r="G753" s="4"/>
    </row>
    <row r="754" ht="15.75" customHeight="1">
      <c r="A754" s="4"/>
      <c r="B754" s="4"/>
      <c r="D754" s="4"/>
      <c r="E754" s="4"/>
      <c r="G754" s="4"/>
    </row>
    <row r="755" ht="15.75" customHeight="1">
      <c r="A755" s="4"/>
      <c r="B755" s="4"/>
      <c r="D755" s="4"/>
      <c r="E755" s="4"/>
      <c r="G755" s="4"/>
    </row>
    <row r="756" ht="15.75" customHeight="1">
      <c r="A756" s="4"/>
      <c r="B756" s="4"/>
      <c r="D756" s="4"/>
      <c r="E756" s="4"/>
      <c r="G756" s="4"/>
    </row>
    <row r="757" ht="15.75" customHeight="1">
      <c r="A757" s="4"/>
      <c r="B757" s="4"/>
      <c r="D757" s="4"/>
      <c r="E757" s="4"/>
      <c r="G757" s="4"/>
    </row>
    <row r="758" ht="15.75" customHeight="1">
      <c r="A758" s="4"/>
      <c r="B758" s="4"/>
      <c r="D758" s="4"/>
      <c r="E758" s="4"/>
      <c r="G758" s="4"/>
    </row>
    <row r="759" ht="15.75" customHeight="1">
      <c r="A759" s="4"/>
      <c r="B759" s="4"/>
      <c r="D759" s="4"/>
      <c r="E759" s="4"/>
      <c r="G759" s="4"/>
    </row>
    <row r="760" ht="15.75" customHeight="1">
      <c r="A760" s="4"/>
      <c r="B760" s="4"/>
      <c r="D760" s="4"/>
      <c r="E760" s="4"/>
      <c r="G760" s="4"/>
    </row>
    <row r="761" ht="15.75" customHeight="1">
      <c r="A761" s="4"/>
      <c r="B761" s="4"/>
      <c r="D761" s="4"/>
      <c r="E761" s="4"/>
      <c r="G761" s="4"/>
    </row>
    <row r="762" ht="15.75" customHeight="1">
      <c r="A762" s="4"/>
      <c r="B762" s="4"/>
      <c r="D762" s="4"/>
      <c r="E762" s="4"/>
      <c r="G762" s="4"/>
    </row>
    <row r="763" ht="15.75" customHeight="1">
      <c r="A763" s="4"/>
      <c r="B763" s="4"/>
      <c r="D763" s="4"/>
      <c r="E763" s="4"/>
      <c r="G763" s="4"/>
    </row>
    <row r="764" ht="15.75" customHeight="1">
      <c r="A764" s="4"/>
      <c r="B764" s="4"/>
      <c r="D764" s="4"/>
      <c r="E764" s="4"/>
      <c r="G764" s="4"/>
    </row>
    <row r="765" ht="15.75" customHeight="1">
      <c r="A765" s="4"/>
      <c r="B765" s="4"/>
      <c r="D765" s="4"/>
      <c r="E765" s="4"/>
      <c r="G765" s="4"/>
    </row>
    <row r="766" ht="15.75" customHeight="1">
      <c r="A766" s="4"/>
      <c r="B766" s="4"/>
      <c r="D766" s="4"/>
      <c r="E766" s="4"/>
      <c r="G766" s="4"/>
    </row>
    <row r="767" ht="15.75" customHeight="1">
      <c r="A767" s="4"/>
      <c r="B767" s="4"/>
      <c r="D767" s="4"/>
      <c r="E767" s="4"/>
      <c r="G767" s="4"/>
    </row>
    <row r="768" ht="15.75" customHeight="1">
      <c r="A768" s="4"/>
      <c r="B768" s="4"/>
      <c r="D768" s="4"/>
      <c r="E768" s="4"/>
      <c r="G768" s="4"/>
    </row>
    <row r="769" ht="15.75" customHeight="1">
      <c r="A769" s="4"/>
      <c r="B769" s="4"/>
      <c r="D769" s="4"/>
      <c r="E769" s="4"/>
      <c r="G769" s="4"/>
    </row>
    <row r="770" ht="15.75" customHeight="1">
      <c r="A770" s="4"/>
      <c r="B770" s="4"/>
      <c r="D770" s="4"/>
      <c r="E770" s="4"/>
      <c r="G770" s="4"/>
    </row>
    <row r="771" ht="15.75" customHeight="1">
      <c r="A771" s="4"/>
      <c r="B771" s="4"/>
      <c r="D771" s="4"/>
      <c r="E771" s="4"/>
      <c r="G771" s="4"/>
    </row>
    <row r="772" ht="15.75" customHeight="1">
      <c r="A772" s="4"/>
      <c r="B772" s="4"/>
      <c r="D772" s="4"/>
      <c r="E772" s="4"/>
      <c r="G772" s="4"/>
    </row>
    <row r="773" ht="15.75" customHeight="1">
      <c r="A773" s="4"/>
      <c r="B773" s="4"/>
      <c r="D773" s="4"/>
      <c r="E773" s="4"/>
      <c r="G773" s="4"/>
    </row>
    <row r="774" ht="15.75" customHeight="1">
      <c r="A774" s="4"/>
      <c r="B774" s="4"/>
      <c r="D774" s="4"/>
      <c r="E774" s="4"/>
      <c r="G774" s="4"/>
    </row>
    <row r="775" ht="15.75" customHeight="1">
      <c r="A775" s="4"/>
      <c r="B775" s="4"/>
      <c r="D775" s="4"/>
      <c r="E775" s="4"/>
      <c r="G775" s="4"/>
    </row>
    <row r="776" ht="15.75" customHeight="1">
      <c r="A776" s="4"/>
      <c r="B776" s="4"/>
      <c r="D776" s="4"/>
      <c r="E776" s="4"/>
      <c r="G776" s="4"/>
    </row>
    <row r="777" ht="15.75" customHeight="1">
      <c r="A777" s="4"/>
      <c r="B777" s="4"/>
      <c r="D777" s="4"/>
      <c r="E777" s="4"/>
      <c r="G777" s="4"/>
    </row>
    <row r="778" ht="15.75" customHeight="1">
      <c r="A778" s="4"/>
      <c r="B778" s="4"/>
      <c r="D778" s="4"/>
      <c r="E778" s="4"/>
      <c r="G778" s="4"/>
    </row>
    <row r="779" ht="15.75" customHeight="1">
      <c r="A779" s="4"/>
      <c r="B779" s="4"/>
      <c r="D779" s="4"/>
      <c r="E779" s="4"/>
      <c r="G779" s="4"/>
    </row>
    <row r="780" ht="15.75" customHeight="1">
      <c r="A780" s="4"/>
      <c r="B780" s="4"/>
      <c r="D780" s="4"/>
      <c r="E780" s="4"/>
      <c r="G780" s="4"/>
    </row>
    <row r="781" ht="15.75" customHeight="1">
      <c r="A781" s="4"/>
      <c r="B781" s="4"/>
      <c r="D781" s="4"/>
      <c r="E781" s="4"/>
      <c r="G781" s="4"/>
    </row>
    <row r="782" ht="15.75" customHeight="1">
      <c r="A782" s="4"/>
      <c r="B782" s="4"/>
      <c r="D782" s="4"/>
      <c r="E782" s="4"/>
      <c r="G782" s="4"/>
    </row>
    <row r="783" ht="15.75" customHeight="1">
      <c r="A783" s="4"/>
      <c r="B783" s="4"/>
      <c r="D783" s="4"/>
      <c r="E783" s="4"/>
      <c r="G783" s="4"/>
    </row>
    <row r="784" ht="15.75" customHeight="1">
      <c r="A784" s="4"/>
      <c r="B784" s="4"/>
      <c r="D784" s="4"/>
      <c r="E784" s="4"/>
      <c r="G784" s="4"/>
    </row>
    <row r="785" ht="15.75" customHeight="1">
      <c r="A785" s="4"/>
      <c r="B785" s="4"/>
      <c r="D785" s="4"/>
      <c r="E785" s="4"/>
      <c r="G785" s="4"/>
    </row>
    <row r="786" ht="15.75" customHeight="1">
      <c r="A786" s="4"/>
      <c r="B786" s="4"/>
      <c r="D786" s="4"/>
      <c r="E786" s="4"/>
      <c r="G786" s="4"/>
    </row>
    <row r="787" ht="15.75" customHeight="1">
      <c r="A787" s="4"/>
      <c r="B787" s="4"/>
      <c r="D787" s="4"/>
      <c r="E787" s="4"/>
      <c r="G787" s="4"/>
    </row>
    <row r="788" ht="15.75" customHeight="1">
      <c r="A788" s="4"/>
      <c r="B788" s="4"/>
      <c r="D788" s="4"/>
      <c r="E788" s="4"/>
      <c r="G788" s="4"/>
    </row>
    <row r="789" ht="15.75" customHeight="1">
      <c r="A789" s="4"/>
      <c r="B789" s="4"/>
      <c r="D789" s="4"/>
      <c r="E789" s="4"/>
      <c r="G789" s="4"/>
    </row>
    <row r="790" ht="15.75" customHeight="1">
      <c r="A790" s="4"/>
      <c r="B790" s="4"/>
      <c r="D790" s="4"/>
      <c r="E790" s="4"/>
      <c r="G790" s="4"/>
    </row>
    <row r="791" ht="15.75" customHeight="1">
      <c r="A791" s="4"/>
      <c r="B791" s="4"/>
      <c r="D791" s="4"/>
      <c r="E791" s="4"/>
      <c r="G791" s="4"/>
    </row>
    <row r="792" ht="15.75" customHeight="1">
      <c r="A792" s="4"/>
      <c r="B792" s="4"/>
      <c r="D792" s="4"/>
      <c r="E792" s="4"/>
      <c r="G792" s="4"/>
    </row>
    <row r="793" ht="15.75" customHeight="1">
      <c r="A793" s="4"/>
      <c r="B793" s="4"/>
      <c r="D793" s="4"/>
      <c r="E793" s="4"/>
      <c r="G793" s="4"/>
    </row>
    <row r="794" ht="15.75" customHeight="1">
      <c r="A794" s="4"/>
      <c r="B794" s="4"/>
      <c r="D794" s="4"/>
      <c r="E794" s="4"/>
      <c r="G794" s="4"/>
    </row>
    <row r="795" ht="15.75" customHeight="1">
      <c r="A795" s="4"/>
      <c r="B795" s="4"/>
      <c r="D795" s="4"/>
      <c r="E795" s="4"/>
      <c r="G795" s="4"/>
    </row>
    <row r="796" ht="15.75" customHeight="1">
      <c r="A796" s="4"/>
      <c r="B796" s="4"/>
      <c r="D796" s="4"/>
      <c r="E796" s="4"/>
      <c r="G796" s="4"/>
    </row>
    <row r="797" ht="15.75" customHeight="1">
      <c r="A797" s="4"/>
      <c r="B797" s="4"/>
      <c r="D797" s="4"/>
      <c r="E797" s="4"/>
      <c r="G797" s="4"/>
    </row>
    <row r="798" ht="15.75" customHeight="1">
      <c r="A798" s="4"/>
      <c r="B798" s="4"/>
      <c r="D798" s="4"/>
      <c r="E798" s="4"/>
      <c r="G798" s="4"/>
    </row>
    <row r="799" ht="15.75" customHeight="1">
      <c r="A799" s="4"/>
      <c r="B799" s="4"/>
      <c r="D799" s="4"/>
      <c r="E799" s="4"/>
      <c r="G799" s="4"/>
    </row>
    <row r="800" ht="15.75" customHeight="1">
      <c r="A800" s="4"/>
      <c r="B800" s="4"/>
      <c r="D800" s="4"/>
      <c r="E800" s="4"/>
      <c r="G800" s="4"/>
    </row>
    <row r="801" ht="15.75" customHeight="1">
      <c r="A801" s="4"/>
      <c r="B801" s="4"/>
      <c r="D801" s="4"/>
      <c r="E801" s="4"/>
      <c r="G801" s="4"/>
    </row>
    <row r="802" ht="15.75" customHeight="1">
      <c r="A802" s="4"/>
      <c r="B802" s="4"/>
      <c r="D802" s="4"/>
      <c r="E802" s="4"/>
      <c r="G802" s="4"/>
    </row>
    <row r="803" ht="15.75" customHeight="1">
      <c r="A803" s="4"/>
      <c r="B803" s="4"/>
      <c r="D803" s="4"/>
      <c r="E803" s="4"/>
      <c r="G803" s="4"/>
    </row>
    <row r="804" ht="15.75" customHeight="1">
      <c r="A804" s="4"/>
      <c r="B804" s="4"/>
      <c r="D804" s="4"/>
      <c r="E804" s="4"/>
      <c r="G804" s="4"/>
    </row>
    <row r="805" ht="15.75" customHeight="1">
      <c r="A805" s="4"/>
      <c r="B805" s="4"/>
      <c r="D805" s="4"/>
      <c r="E805" s="4"/>
      <c r="G805" s="4"/>
    </row>
    <row r="806" ht="15.75" customHeight="1">
      <c r="A806" s="4"/>
      <c r="B806" s="4"/>
      <c r="D806" s="4"/>
      <c r="E806" s="4"/>
      <c r="G806" s="4"/>
    </row>
    <row r="807" ht="15.75" customHeight="1">
      <c r="A807" s="4"/>
      <c r="B807" s="4"/>
      <c r="D807" s="4"/>
      <c r="E807" s="4"/>
      <c r="G807" s="4"/>
    </row>
    <row r="808" ht="15.75" customHeight="1">
      <c r="A808" s="4"/>
      <c r="B808" s="4"/>
      <c r="D808" s="4"/>
      <c r="E808" s="4"/>
      <c r="G808" s="4"/>
    </row>
    <row r="809" ht="15.75" customHeight="1">
      <c r="A809" s="4"/>
      <c r="B809" s="4"/>
      <c r="D809" s="4"/>
      <c r="E809" s="4"/>
      <c r="G809" s="4"/>
    </row>
    <row r="810" ht="15.75" customHeight="1">
      <c r="A810" s="4"/>
      <c r="B810" s="4"/>
      <c r="D810" s="4"/>
      <c r="E810" s="4"/>
      <c r="G810" s="4"/>
    </row>
    <row r="811" ht="15.75" customHeight="1">
      <c r="A811" s="4"/>
      <c r="B811" s="4"/>
      <c r="D811" s="4"/>
      <c r="E811" s="4"/>
      <c r="G811" s="4"/>
    </row>
    <row r="812" ht="15.75" customHeight="1">
      <c r="A812" s="4"/>
      <c r="B812" s="4"/>
      <c r="D812" s="4"/>
      <c r="E812" s="4"/>
      <c r="G812" s="4"/>
    </row>
    <row r="813" ht="15.75" customHeight="1">
      <c r="A813" s="4"/>
      <c r="B813" s="4"/>
      <c r="D813" s="4"/>
      <c r="E813" s="4"/>
      <c r="G813" s="4"/>
    </row>
    <row r="814" ht="15.75" customHeight="1">
      <c r="A814" s="4"/>
      <c r="B814" s="4"/>
      <c r="D814" s="4"/>
      <c r="E814" s="4"/>
      <c r="G814" s="4"/>
    </row>
    <row r="815" ht="15.75" customHeight="1">
      <c r="A815" s="4"/>
      <c r="B815" s="4"/>
      <c r="D815" s="4"/>
      <c r="E815" s="4"/>
      <c r="G815" s="4"/>
    </row>
    <row r="816" ht="15.75" customHeight="1">
      <c r="A816" s="4"/>
      <c r="B816" s="4"/>
      <c r="D816" s="4"/>
      <c r="E816" s="4"/>
      <c r="G816" s="4"/>
    </row>
    <row r="817" ht="15.75" customHeight="1">
      <c r="A817" s="4"/>
      <c r="B817" s="4"/>
      <c r="D817" s="4"/>
      <c r="E817" s="4"/>
      <c r="G817" s="4"/>
    </row>
    <row r="818" ht="15.75" customHeight="1">
      <c r="A818" s="4"/>
      <c r="B818" s="4"/>
      <c r="D818" s="4"/>
      <c r="E818" s="4"/>
      <c r="G818" s="4"/>
    </row>
    <row r="819" ht="15.75" customHeight="1">
      <c r="A819" s="4"/>
      <c r="B819" s="4"/>
      <c r="D819" s="4"/>
      <c r="E819" s="4"/>
      <c r="G819" s="4"/>
    </row>
    <row r="820" ht="15.75" customHeight="1">
      <c r="A820" s="4"/>
      <c r="B820" s="4"/>
      <c r="D820" s="4"/>
      <c r="E820" s="4"/>
      <c r="G820" s="4"/>
    </row>
    <row r="821" ht="15.75" customHeight="1">
      <c r="A821" s="4"/>
      <c r="B821" s="4"/>
      <c r="D821" s="4"/>
      <c r="E821" s="4"/>
      <c r="G821" s="4"/>
    </row>
    <row r="822" ht="15.75" customHeight="1">
      <c r="A822" s="4"/>
      <c r="B822" s="4"/>
      <c r="D822" s="4"/>
      <c r="E822" s="4"/>
      <c r="G822" s="4"/>
    </row>
    <row r="823" ht="15.75" customHeight="1">
      <c r="A823" s="4"/>
      <c r="B823" s="4"/>
      <c r="D823" s="4"/>
      <c r="E823" s="4"/>
      <c r="G823" s="4"/>
    </row>
    <row r="824" ht="15.75" customHeight="1">
      <c r="A824" s="4"/>
      <c r="B824" s="4"/>
      <c r="D824" s="4"/>
      <c r="E824" s="4"/>
      <c r="G824" s="4"/>
    </row>
    <row r="825" ht="15.75" customHeight="1">
      <c r="A825" s="4"/>
      <c r="B825" s="4"/>
      <c r="D825" s="4"/>
      <c r="E825" s="4"/>
      <c r="G825" s="4"/>
    </row>
    <row r="826" ht="15.75" customHeight="1">
      <c r="A826" s="4"/>
      <c r="B826" s="4"/>
      <c r="D826" s="4"/>
      <c r="E826" s="4"/>
      <c r="G826" s="4"/>
    </row>
    <row r="827" ht="15.75" customHeight="1">
      <c r="A827" s="4"/>
      <c r="B827" s="4"/>
      <c r="D827" s="4"/>
      <c r="E827" s="4"/>
      <c r="G827" s="4"/>
    </row>
    <row r="828" ht="15.75" customHeight="1">
      <c r="A828" s="4"/>
      <c r="B828" s="4"/>
      <c r="D828" s="4"/>
      <c r="E828" s="4"/>
      <c r="G828" s="4"/>
    </row>
    <row r="829" ht="15.75" customHeight="1">
      <c r="A829" s="4"/>
      <c r="B829" s="4"/>
      <c r="D829" s="4"/>
      <c r="E829" s="4"/>
      <c r="G829" s="4"/>
    </row>
    <row r="830" ht="15.75" customHeight="1">
      <c r="A830" s="4"/>
      <c r="B830" s="4"/>
      <c r="D830" s="4"/>
      <c r="E830" s="4"/>
      <c r="G830" s="4"/>
    </row>
    <row r="831" ht="15.75" customHeight="1">
      <c r="A831" s="4"/>
      <c r="B831" s="4"/>
      <c r="D831" s="4"/>
      <c r="E831" s="4"/>
      <c r="G831" s="4"/>
    </row>
    <row r="832" ht="15.75" customHeight="1">
      <c r="A832" s="4"/>
      <c r="B832" s="4"/>
      <c r="D832" s="4"/>
      <c r="E832" s="4"/>
      <c r="G832" s="4"/>
    </row>
    <row r="833" ht="15.75" customHeight="1">
      <c r="A833" s="4"/>
      <c r="B833" s="4"/>
      <c r="D833" s="4"/>
      <c r="E833" s="4"/>
      <c r="G833" s="4"/>
    </row>
    <row r="834" ht="15.75" customHeight="1">
      <c r="A834" s="4"/>
      <c r="B834" s="4"/>
      <c r="D834" s="4"/>
      <c r="E834" s="4"/>
      <c r="G834" s="4"/>
    </row>
    <row r="835" ht="15.75" customHeight="1">
      <c r="A835" s="4"/>
      <c r="B835" s="4"/>
      <c r="D835" s="4"/>
      <c r="E835" s="4"/>
      <c r="G835" s="4"/>
    </row>
    <row r="836" ht="15.75" customHeight="1">
      <c r="A836" s="4"/>
      <c r="B836" s="4"/>
      <c r="D836" s="4"/>
      <c r="E836" s="4"/>
      <c r="G836" s="4"/>
    </row>
    <row r="837" ht="15.75" customHeight="1">
      <c r="A837" s="4"/>
      <c r="B837" s="4"/>
      <c r="D837" s="4"/>
      <c r="E837" s="4"/>
      <c r="G837" s="4"/>
    </row>
    <row r="838" ht="15.75" customHeight="1">
      <c r="A838" s="4"/>
      <c r="B838" s="4"/>
      <c r="D838" s="4"/>
      <c r="E838" s="4"/>
      <c r="G838" s="4"/>
    </row>
    <row r="839" ht="15.75" customHeight="1">
      <c r="A839" s="4"/>
      <c r="B839" s="4"/>
      <c r="D839" s="4"/>
      <c r="E839" s="4"/>
      <c r="G839" s="4"/>
    </row>
    <row r="840" ht="15.75" customHeight="1">
      <c r="A840" s="4"/>
      <c r="B840" s="4"/>
      <c r="D840" s="4"/>
      <c r="E840" s="4"/>
      <c r="G840" s="4"/>
    </row>
    <row r="841" ht="15.75" customHeight="1">
      <c r="A841" s="4"/>
      <c r="B841" s="4"/>
      <c r="D841" s="4"/>
      <c r="E841" s="4"/>
      <c r="G841" s="4"/>
    </row>
    <row r="842" ht="15.75" customHeight="1">
      <c r="A842" s="4"/>
      <c r="B842" s="4"/>
      <c r="D842" s="4"/>
      <c r="E842" s="4"/>
      <c r="G842" s="4"/>
    </row>
    <row r="843" ht="15.75" customHeight="1">
      <c r="A843" s="4"/>
      <c r="B843" s="4"/>
      <c r="D843" s="4"/>
      <c r="E843" s="4"/>
      <c r="G843" s="4"/>
    </row>
    <row r="844" ht="15.75" customHeight="1">
      <c r="A844" s="4"/>
      <c r="B844" s="4"/>
      <c r="D844" s="4"/>
      <c r="E844" s="4"/>
      <c r="G844" s="4"/>
    </row>
    <row r="845" ht="15.75" customHeight="1">
      <c r="A845" s="4"/>
      <c r="B845" s="4"/>
      <c r="D845" s="4"/>
      <c r="E845" s="4"/>
      <c r="G845" s="4"/>
    </row>
    <row r="846" ht="15.75" customHeight="1">
      <c r="A846" s="4"/>
      <c r="B846" s="4"/>
      <c r="D846" s="4"/>
      <c r="E846" s="4"/>
      <c r="G846" s="4"/>
    </row>
    <row r="847" ht="15.75" customHeight="1">
      <c r="A847" s="4"/>
      <c r="B847" s="4"/>
      <c r="D847" s="4"/>
      <c r="E847" s="4"/>
      <c r="G847" s="4"/>
    </row>
    <row r="848" ht="15.75" customHeight="1">
      <c r="A848" s="4"/>
      <c r="B848" s="4"/>
      <c r="D848" s="4"/>
      <c r="E848" s="4"/>
      <c r="G848" s="4"/>
    </row>
    <row r="849" ht="15.75" customHeight="1">
      <c r="A849" s="4"/>
      <c r="B849" s="4"/>
      <c r="D849" s="4"/>
      <c r="E849" s="4"/>
      <c r="G849" s="4"/>
    </row>
    <row r="850" ht="15.75" customHeight="1">
      <c r="A850" s="4"/>
      <c r="B850" s="4"/>
      <c r="D850" s="4"/>
      <c r="E850" s="4"/>
      <c r="G850" s="4"/>
    </row>
    <row r="851" ht="15.75" customHeight="1">
      <c r="A851" s="4"/>
      <c r="B851" s="4"/>
      <c r="D851" s="4"/>
      <c r="E851" s="4"/>
      <c r="G851" s="4"/>
    </row>
    <row r="852" ht="15.75" customHeight="1">
      <c r="A852" s="4"/>
      <c r="B852" s="4"/>
      <c r="D852" s="4"/>
      <c r="E852" s="4"/>
      <c r="G852" s="4"/>
    </row>
    <row r="853" ht="15.75" customHeight="1">
      <c r="A853" s="4"/>
      <c r="B853" s="4"/>
      <c r="D853" s="4"/>
      <c r="E853" s="4"/>
      <c r="G853" s="4"/>
    </row>
    <row r="854" ht="15.75" customHeight="1">
      <c r="A854" s="4"/>
      <c r="B854" s="4"/>
      <c r="D854" s="4"/>
      <c r="E854" s="4"/>
      <c r="G854" s="4"/>
    </row>
    <row r="855" ht="15.75" customHeight="1">
      <c r="A855" s="4"/>
      <c r="B855" s="4"/>
      <c r="D855" s="4"/>
      <c r="E855" s="4"/>
      <c r="G855" s="4"/>
    </row>
    <row r="856" ht="15.75" customHeight="1">
      <c r="A856" s="4"/>
      <c r="B856" s="4"/>
      <c r="D856" s="4"/>
      <c r="E856" s="4"/>
      <c r="G856" s="4"/>
    </row>
    <row r="857" ht="15.75" customHeight="1">
      <c r="A857" s="4"/>
      <c r="B857" s="4"/>
      <c r="D857" s="4"/>
      <c r="E857" s="4"/>
      <c r="G857" s="4"/>
    </row>
    <row r="858" ht="15.75" customHeight="1">
      <c r="A858" s="4"/>
      <c r="B858" s="4"/>
      <c r="D858" s="4"/>
      <c r="E858" s="4"/>
      <c r="G858" s="4"/>
    </row>
    <row r="859" ht="15.75" customHeight="1">
      <c r="A859" s="4"/>
      <c r="B859" s="4"/>
      <c r="D859" s="4"/>
      <c r="E859" s="4"/>
      <c r="G859" s="4"/>
    </row>
    <row r="860" ht="15.75" customHeight="1">
      <c r="A860" s="4"/>
      <c r="B860" s="4"/>
      <c r="D860" s="4"/>
      <c r="E860" s="4"/>
      <c r="G860" s="4"/>
    </row>
    <row r="861" ht="15.75" customHeight="1">
      <c r="A861" s="4"/>
      <c r="B861" s="4"/>
      <c r="D861" s="4"/>
      <c r="E861" s="4"/>
      <c r="G861" s="4"/>
    </row>
    <row r="862" ht="15.75" customHeight="1">
      <c r="A862" s="4"/>
      <c r="B862" s="4"/>
      <c r="D862" s="4"/>
      <c r="E862" s="4"/>
      <c r="G862" s="4"/>
    </row>
    <row r="863" ht="15.75" customHeight="1">
      <c r="A863" s="4"/>
      <c r="B863" s="4"/>
      <c r="D863" s="4"/>
      <c r="E863" s="4"/>
      <c r="G863" s="4"/>
    </row>
    <row r="864" ht="15.75" customHeight="1">
      <c r="A864" s="4"/>
      <c r="B864" s="4"/>
      <c r="D864" s="4"/>
      <c r="E864" s="4"/>
      <c r="G864" s="4"/>
    </row>
    <row r="865" ht="15.75" customHeight="1">
      <c r="A865" s="4"/>
      <c r="B865" s="4"/>
      <c r="D865" s="4"/>
      <c r="E865" s="4"/>
      <c r="G865" s="4"/>
    </row>
    <row r="866" ht="15.75" customHeight="1">
      <c r="A866" s="4"/>
      <c r="B866" s="4"/>
      <c r="D866" s="4"/>
      <c r="E866" s="4"/>
      <c r="G866" s="4"/>
    </row>
    <row r="867" ht="15.75" customHeight="1">
      <c r="A867" s="4"/>
      <c r="B867" s="4"/>
      <c r="D867" s="4"/>
      <c r="E867" s="4"/>
      <c r="G867" s="4"/>
    </row>
    <row r="868" ht="15.75" customHeight="1">
      <c r="A868" s="4"/>
      <c r="B868" s="4"/>
      <c r="D868" s="4"/>
      <c r="E868" s="4"/>
      <c r="G868" s="4"/>
    </row>
    <row r="869" ht="15.75" customHeight="1">
      <c r="A869" s="4"/>
      <c r="B869" s="4"/>
      <c r="D869" s="4"/>
      <c r="E869" s="4"/>
      <c r="G869" s="4"/>
    </row>
    <row r="870" ht="15.75" customHeight="1">
      <c r="A870" s="4"/>
      <c r="B870" s="4"/>
      <c r="D870" s="4"/>
      <c r="E870" s="4"/>
      <c r="G870" s="4"/>
    </row>
    <row r="871" ht="15.75" customHeight="1">
      <c r="A871" s="4"/>
      <c r="B871" s="4"/>
      <c r="D871" s="4"/>
      <c r="E871" s="4"/>
      <c r="G871" s="4"/>
    </row>
    <row r="872" ht="15.75" customHeight="1">
      <c r="A872" s="4"/>
      <c r="B872" s="4"/>
      <c r="D872" s="4"/>
      <c r="E872" s="4"/>
      <c r="G872" s="4"/>
    </row>
    <row r="873" ht="15.75" customHeight="1">
      <c r="A873" s="4"/>
      <c r="B873" s="4"/>
      <c r="D873" s="4"/>
      <c r="E873" s="4"/>
      <c r="G873" s="4"/>
    </row>
    <row r="874" ht="15.75" customHeight="1">
      <c r="A874" s="4"/>
      <c r="B874" s="4"/>
      <c r="D874" s="4"/>
      <c r="E874" s="4"/>
      <c r="G874" s="4"/>
    </row>
    <row r="875" ht="15.75" customHeight="1">
      <c r="A875" s="4"/>
      <c r="B875" s="4"/>
      <c r="D875" s="4"/>
      <c r="E875" s="4"/>
      <c r="G875" s="4"/>
    </row>
    <row r="876" ht="15.75" customHeight="1">
      <c r="A876" s="4"/>
      <c r="B876" s="4"/>
      <c r="D876" s="4"/>
      <c r="E876" s="4"/>
      <c r="G876" s="4"/>
    </row>
    <row r="877" ht="15.75" customHeight="1">
      <c r="A877" s="4"/>
      <c r="B877" s="4"/>
      <c r="D877" s="4"/>
      <c r="E877" s="4"/>
      <c r="G877" s="4"/>
    </row>
    <row r="878" ht="15.75" customHeight="1">
      <c r="A878" s="4"/>
      <c r="B878" s="4"/>
      <c r="D878" s="4"/>
      <c r="E878" s="4"/>
      <c r="G878" s="4"/>
    </row>
    <row r="879" ht="15.75" customHeight="1">
      <c r="A879" s="4"/>
      <c r="B879" s="4"/>
      <c r="D879" s="4"/>
      <c r="E879" s="4"/>
      <c r="G879" s="4"/>
    </row>
    <row r="880" ht="15.75" customHeight="1">
      <c r="A880" s="4"/>
      <c r="B880" s="4"/>
      <c r="D880" s="4"/>
      <c r="E880" s="4"/>
      <c r="G880" s="4"/>
    </row>
    <row r="881" ht="15.75" customHeight="1">
      <c r="A881" s="4"/>
      <c r="B881" s="4"/>
      <c r="D881" s="4"/>
      <c r="E881" s="4"/>
      <c r="G881" s="4"/>
    </row>
    <row r="882" ht="15.75" customHeight="1">
      <c r="A882" s="4"/>
      <c r="B882" s="4"/>
      <c r="D882" s="4"/>
      <c r="E882" s="4"/>
      <c r="G882" s="4"/>
    </row>
    <row r="883" ht="15.75" customHeight="1">
      <c r="A883" s="4"/>
      <c r="B883" s="4"/>
      <c r="D883" s="4"/>
      <c r="E883" s="4"/>
      <c r="G883" s="4"/>
    </row>
    <row r="884" ht="15.75" customHeight="1">
      <c r="A884" s="4"/>
      <c r="B884" s="4"/>
      <c r="D884" s="4"/>
      <c r="E884" s="4"/>
      <c r="G884" s="4"/>
    </row>
    <row r="885" ht="15.75" customHeight="1">
      <c r="A885" s="4"/>
      <c r="B885" s="4"/>
      <c r="D885" s="4"/>
      <c r="E885" s="4"/>
      <c r="G885" s="4"/>
    </row>
    <row r="886" ht="15.75" customHeight="1">
      <c r="A886" s="4"/>
      <c r="B886" s="4"/>
      <c r="D886" s="4"/>
      <c r="E886" s="4"/>
      <c r="G886" s="4"/>
    </row>
    <row r="887" ht="15.75" customHeight="1">
      <c r="A887" s="4"/>
      <c r="B887" s="4"/>
      <c r="D887" s="4"/>
      <c r="E887" s="4"/>
      <c r="G887" s="4"/>
    </row>
    <row r="888" ht="15.75" customHeight="1">
      <c r="A888" s="4"/>
      <c r="B888" s="4"/>
      <c r="D888" s="4"/>
      <c r="E888" s="4"/>
      <c r="G888" s="4"/>
    </row>
    <row r="889" ht="15.75" customHeight="1">
      <c r="A889" s="4"/>
      <c r="B889" s="4"/>
      <c r="D889" s="4"/>
      <c r="E889" s="4"/>
      <c r="G889" s="4"/>
    </row>
    <row r="890" ht="15.75" customHeight="1">
      <c r="A890" s="4"/>
      <c r="B890" s="4"/>
      <c r="D890" s="4"/>
      <c r="E890" s="4"/>
      <c r="G890" s="4"/>
    </row>
    <row r="891" ht="15.75" customHeight="1">
      <c r="A891" s="4"/>
      <c r="B891" s="4"/>
      <c r="D891" s="4"/>
      <c r="E891" s="4"/>
      <c r="G891" s="4"/>
    </row>
    <row r="892" ht="15.75" customHeight="1">
      <c r="A892" s="4"/>
      <c r="B892" s="4"/>
      <c r="D892" s="4"/>
      <c r="E892" s="4"/>
      <c r="G892" s="4"/>
    </row>
    <row r="893" ht="15.75" customHeight="1">
      <c r="A893" s="4"/>
      <c r="B893" s="4"/>
      <c r="D893" s="4"/>
      <c r="E893" s="4"/>
      <c r="G893" s="4"/>
    </row>
    <row r="894" ht="15.75" customHeight="1">
      <c r="A894" s="4"/>
      <c r="B894" s="4"/>
      <c r="D894" s="4"/>
      <c r="E894" s="4"/>
      <c r="G894" s="4"/>
    </row>
    <row r="895" ht="15.75" customHeight="1">
      <c r="A895" s="4"/>
      <c r="B895" s="4"/>
      <c r="D895" s="4"/>
      <c r="E895" s="4"/>
      <c r="G895" s="4"/>
    </row>
    <row r="896" ht="15.75" customHeight="1">
      <c r="A896" s="4"/>
      <c r="B896" s="4"/>
      <c r="D896" s="4"/>
      <c r="E896" s="4"/>
      <c r="G896" s="4"/>
    </row>
    <row r="897" ht="15.75" customHeight="1">
      <c r="A897" s="4"/>
      <c r="B897" s="4"/>
      <c r="D897" s="4"/>
      <c r="E897" s="4"/>
      <c r="G897" s="4"/>
    </row>
    <row r="898" ht="15.75" customHeight="1">
      <c r="A898" s="4"/>
      <c r="B898" s="4"/>
      <c r="D898" s="4"/>
      <c r="E898" s="4"/>
      <c r="G898" s="4"/>
    </row>
    <row r="899" ht="15.75" customHeight="1">
      <c r="A899" s="4"/>
      <c r="B899" s="4"/>
      <c r="D899" s="4"/>
      <c r="E899" s="4"/>
      <c r="G899" s="4"/>
    </row>
    <row r="900" ht="15.75" customHeight="1">
      <c r="A900" s="4"/>
      <c r="B900" s="4"/>
      <c r="D900" s="4"/>
      <c r="E900" s="4"/>
      <c r="G900" s="4"/>
    </row>
    <row r="901" ht="15.75" customHeight="1">
      <c r="A901" s="4"/>
      <c r="B901" s="4"/>
      <c r="D901" s="4"/>
      <c r="E901" s="4"/>
      <c r="G901" s="4"/>
    </row>
    <row r="902" ht="15.75" customHeight="1">
      <c r="A902" s="4"/>
      <c r="B902" s="4"/>
      <c r="D902" s="4"/>
      <c r="E902" s="4"/>
      <c r="G902" s="4"/>
    </row>
    <row r="903" ht="15.75" customHeight="1">
      <c r="A903" s="4"/>
      <c r="B903" s="4"/>
      <c r="D903" s="4"/>
      <c r="E903" s="4"/>
      <c r="G903" s="4"/>
    </row>
    <row r="904" ht="15.75" customHeight="1">
      <c r="A904" s="4"/>
      <c r="B904" s="4"/>
      <c r="D904" s="4"/>
      <c r="E904" s="4"/>
      <c r="G904" s="4"/>
    </row>
    <row r="905" ht="15.75" customHeight="1">
      <c r="A905" s="4"/>
      <c r="B905" s="4"/>
      <c r="D905" s="4"/>
      <c r="E905" s="4"/>
      <c r="G905" s="4"/>
    </row>
    <row r="906" ht="15.75" customHeight="1">
      <c r="A906" s="4"/>
      <c r="B906" s="4"/>
      <c r="D906" s="4"/>
      <c r="E906" s="4"/>
      <c r="G906" s="4"/>
    </row>
    <row r="907" ht="15.75" customHeight="1">
      <c r="A907" s="4"/>
      <c r="B907" s="4"/>
      <c r="D907" s="4"/>
      <c r="E907" s="4"/>
      <c r="G907" s="4"/>
    </row>
    <row r="908" ht="15.75" customHeight="1">
      <c r="A908" s="4"/>
      <c r="B908" s="4"/>
      <c r="D908" s="4"/>
      <c r="E908" s="4"/>
      <c r="G908" s="4"/>
    </row>
    <row r="909" ht="15.75" customHeight="1">
      <c r="A909" s="4"/>
      <c r="B909" s="4"/>
      <c r="D909" s="4"/>
      <c r="E909" s="4"/>
      <c r="G909" s="4"/>
    </row>
    <row r="910" ht="15.75" customHeight="1">
      <c r="A910" s="4"/>
      <c r="B910" s="4"/>
      <c r="D910" s="4"/>
      <c r="E910" s="4"/>
      <c r="G910" s="4"/>
    </row>
    <row r="911" ht="15.75" customHeight="1">
      <c r="A911" s="4"/>
      <c r="B911" s="4"/>
      <c r="D911" s="4"/>
      <c r="E911" s="4"/>
      <c r="G911" s="4"/>
    </row>
    <row r="912" ht="15.75" customHeight="1">
      <c r="A912" s="4"/>
      <c r="B912" s="4"/>
      <c r="D912" s="4"/>
      <c r="E912" s="4"/>
      <c r="G912" s="4"/>
    </row>
    <row r="913" ht="15.75" customHeight="1">
      <c r="A913" s="4"/>
      <c r="B913" s="4"/>
      <c r="D913" s="4"/>
      <c r="E913" s="4"/>
      <c r="G913" s="4"/>
    </row>
    <row r="914" ht="15.75" customHeight="1">
      <c r="A914" s="4"/>
      <c r="B914" s="4"/>
      <c r="D914" s="4"/>
      <c r="E914" s="4"/>
      <c r="G914" s="4"/>
    </row>
    <row r="915" ht="15.75" customHeight="1">
      <c r="A915" s="4"/>
      <c r="B915" s="4"/>
      <c r="D915" s="4"/>
      <c r="E915" s="4"/>
      <c r="G915" s="4"/>
    </row>
    <row r="916" ht="15.75" customHeight="1">
      <c r="A916" s="4"/>
      <c r="B916" s="4"/>
      <c r="D916" s="4"/>
      <c r="E916" s="4"/>
      <c r="G916" s="4"/>
    </row>
    <row r="917" ht="15.75" customHeight="1">
      <c r="A917" s="4"/>
      <c r="B917" s="4"/>
      <c r="D917" s="4"/>
      <c r="E917" s="4"/>
      <c r="G917" s="4"/>
    </row>
    <row r="918" ht="15.75" customHeight="1">
      <c r="A918" s="4"/>
      <c r="B918" s="4"/>
      <c r="D918" s="4"/>
      <c r="E918" s="4"/>
      <c r="G918" s="4"/>
    </row>
    <row r="919" ht="15.75" customHeight="1">
      <c r="A919" s="4"/>
      <c r="B919" s="4"/>
      <c r="D919" s="4"/>
      <c r="E919" s="4"/>
      <c r="G919" s="4"/>
    </row>
    <row r="920" ht="15.75" customHeight="1">
      <c r="A920" s="4"/>
      <c r="B920" s="4"/>
      <c r="D920" s="4"/>
      <c r="E920" s="4"/>
      <c r="G920" s="4"/>
    </row>
    <row r="921" ht="15.75" customHeight="1">
      <c r="A921" s="4"/>
      <c r="B921" s="4"/>
      <c r="D921" s="4"/>
      <c r="E921" s="4"/>
      <c r="G921" s="4"/>
    </row>
    <row r="922" ht="15.75" customHeight="1">
      <c r="A922" s="4"/>
      <c r="B922" s="4"/>
      <c r="D922" s="4"/>
      <c r="E922" s="4"/>
      <c r="G922" s="4"/>
    </row>
    <row r="923" ht="15.75" customHeight="1">
      <c r="A923" s="4"/>
      <c r="B923" s="4"/>
      <c r="D923" s="4"/>
      <c r="E923" s="4"/>
      <c r="G923" s="4"/>
    </row>
    <row r="924" ht="15.75" customHeight="1">
      <c r="A924" s="4"/>
      <c r="B924" s="4"/>
      <c r="D924" s="4"/>
      <c r="E924" s="4"/>
      <c r="G924" s="4"/>
    </row>
    <row r="925" ht="15.75" customHeight="1">
      <c r="A925" s="4"/>
      <c r="B925" s="4"/>
      <c r="D925" s="4"/>
      <c r="E925" s="4"/>
      <c r="G925" s="4"/>
    </row>
    <row r="926" ht="15.75" customHeight="1">
      <c r="A926" s="4"/>
      <c r="B926" s="4"/>
      <c r="D926" s="4"/>
      <c r="E926" s="4"/>
      <c r="G926" s="4"/>
    </row>
    <row r="927" ht="15.75" customHeight="1">
      <c r="A927" s="4"/>
      <c r="B927" s="4"/>
      <c r="D927" s="4"/>
      <c r="E927" s="4"/>
      <c r="G927" s="4"/>
    </row>
    <row r="928" ht="15.75" customHeight="1">
      <c r="A928" s="4"/>
      <c r="B928" s="4"/>
      <c r="D928" s="4"/>
      <c r="E928" s="4"/>
      <c r="G928" s="4"/>
    </row>
    <row r="929" ht="15.75" customHeight="1">
      <c r="A929" s="4"/>
      <c r="B929" s="4"/>
      <c r="D929" s="4"/>
      <c r="E929" s="4"/>
      <c r="G929" s="4"/>
    </row>
    <row r="930" ht="15.75" customHeight="1">
      <c r="A930" s="4"/>
      <c r="B930" s="4"/>
      <c r="D930" s="4"/>
      <c r="E930" s="4"/>
      <c r="G930" s="4"/>
    </row>
    <row r="931" ht="15.75" customHeight="1">
      <c r="A931" s="4"/>
      <c r="B931" s="4"/>
      <c r="D931" s="4"/>
      <c r="E931" s="4"/>
      <c r="G931" s="4"/>
    </row>
    <row r="932" ht="15.75" customHeight="1">
      <c r="A932" s="4"/>
      <c r="B932" s="4"/>
      <c r="D932" s="4"/>
      <c r="E932" s="4"/>
      <c r="G932" s="4"/>
    </row>
    <row r="933" ht="15.75" customHeight="1">
      <c r="A933" s="4"/>
      <c r="B933" s="4"/>
      <c r="D933" s="4"/>
      <c r="E933" s="4"/>
      <c r="G933" s="4"/>
    </row>
    <row r="934" ht="15.75" customHeight="1">
      <c r="A934" s="4"/>
      <c r="B934" s="4"/>
      <c r="D934" s="4"/>
      <c r="E934" s="4"/>
      <c r="G934" s="4"/>
    </row>
    <row r="935" ht="15.75" customHeight="1">
      <c r="A935" s="4"/>
      <c r="B935" s="4"/>
      <c r="D935" s="4"/>
      <c r="E935" s="4"/>
      <c r="G935" s="4"/>
    </row>
    <row r="936" ht="15.75" customHeight="1">
      <c r="A936" s="4"/>
      <c r="B936" s="4"/>
      <c r="D936" s="4"/>
      <c r="E936" s="4"/>
      <c r="G936" s="4"/>
    </row>
    <row r="937" ht="15.75" customHeight="1">
      <c r="A937" s="4"/>
      <c r="B937" s="4"/>
      <c r="D937" s="4"/>
      <c r="E937" s="4"/>
      <c r="G937" s="4"/>
    </row>
    <row r="938" ht="15.75" customHeight="1">
      <c r="A938" s="4"/>
      <c r="B938" s="4"/>
      <c r="D938" s="4"/>
      <c r="E938" s="4"/>
      <c r="G938" s="4"/>
    </row>
    <row r="939" ht="15.75" customHeight="1">
      <c r="A939" s="4"/>
      <c r="B939" s="4"/>
      <c r="D939" s="4"/>
      <c r="E939" s="4"/>
      <c r="G939" s="4"/>
    </row>
    <row r="940" ht="15.75" customHeight="1">
      <c r="A940" s="4"/>
      <c r="B940" s="4"/>
      <c r="D940" s="4"/>
      <c r="E940" s="4"/>
      <c r="G940" s="4"/>
    </row>
    <row r="941" ht="15.75" customHeight="1">
      <c r="A941" s="4"/>
      <c r="B941" s="4"/>
      <c r="D941" s="4"/>
      <c r="E941" s="4"/>
      <c r="G941" s="4"/>
    </row>
    <row r="942" ht="15.75" customHeight="1">
      <c r="A942" s="4"/>
      <c r="B942" s="4"/>
      <c r="D942" s="4"/>
      <c r="E942" s="4"/>
      <c r="G942" s="4"/>
    </row>
    <row r="943" ht="15.75" customHeight="1">
      <c r="A943" s="4"/>
      <c r="B943" s="4"/>
      <c r="D943" s="4"/>
      <c r="E943" s="4"/>
      <c r="G943" s="4"/>
    </row>
    <row r="944" ht="15.75" customHeight="1">
      <c r="A944" s="4"/>
      <c r="B944" s="4"/>
      <c r="D944" s="4"/>
      <c r="E944" s="4"/>
      <c r="G944" s="4"/>
    </row>
    <row r="945" ht="15.75" customHeight="1">
      <c r="A945" s="4"/>
      <c r="B945" s="4"/>
      <c r="D945" s="4"/>
      <c r="E945" s="4"/>
      <c r="G945" s="4"/>
    </row>
    <row r="946" ht="15.75" customHeight="1">
      <c r="A946" s="4"/>
      <c r="B946" s="4"/>
      <c r="D946" s="4"/>
      <c r="E946" s="4"/>
      <c r="G946" s="4"/>
    </row>
    <row r="947" ht="15.75" customHeight="1">
      <c r="A947" s="4"/>
      <c r="B947" s="4"/>
      <c r="D947" s="4"/>
      <c r="E947" s="4"/>
      <c r="G947" s="4"/>
    </row>
    <row r="948" ht="15.75" customHeight="1">
      <c r="A948" s="4"/>
      <c r="B948" s="4"/>
      <c r="D948" s="4"/>
      <c r="E948" s="4"/>
      <c r="G948" s="4"/>
    </row>
    <row r="949" ht="15.75" customHeight="1">
      <c r="A949" s="4"/>
      <c r="B949" s="4"/>
      <c r="D949" s="4"/>
      <c r="E949" s="4"/>
      <c r="G949" s="4"/>
    </row>
    <row r="950" ht="15.75" customHeight="1">
      <c r="A950" s="4"/>
      <c r="B950" s="4"/>
      <c r="D950" s="4"/>
      <c r="E950" s="4"/>
      <c r="G950" s="4"/>
    </row>
    <row r="951" ht="15.75" customHeight="1">
      <c r="A951" s="4"/>
      <c r="B951" s="4"/>
      <c r="D951" s="4"/>
      <c r="E951" s="4"/>
      <c r="G951" s="4"/>
    </row>
    <row r="952" ht="15.75" customHeight="1">
      <c r="A952" s="4"/>
      <c r="B952" s="4"/>
      <c r="D952" s="4"/>
      <c r="E952" s="4"/>
      <c r="G952" s="4"/>
    </row>
    <row r="953" ht="15.75" customHeight="1">
      <c r="A953" s="4"/>
      <c r="B953" s="4"/>
      <c r="D953" s="4"/>
      <c r="E953" s="4"/>
      <c r="G953" s="4"/>
    </row>
    <row r="954" ht="15.75" customHeight="1">
      <c r="A954" s="4"/>
      <c r="B954" s="4"/>
      <c r="D954" s="4"/>
      <c r="E954" s="4"/>
      <c r="G954" s="4"/>
    </row>
    <row r="955" ht="15.75" customHeight="1">
      <c r="A955" s="4"/>
      <c r="B955" s="4"/>
      <c r="D955" s="4"/>
      <c r="E955" s="4"/>
      <c r="G955" s="4"/>
    </row>
    <row r="956" ht="15.75" customHeight="1">
      <c r="A956" s="4"/>
      <c r="B956" s="4"/>
      <c r="D956" s="4"/>
      <c r="E956" s="4"/>
      <c r="G956" s="4"/>
    </row>
    <row r="957" ht="15.75" customHeight="1">
      <c r="A957" s="4"/>
      <c r="B957" s="4"/>
      <c r="D957" s="4"/>
      <c r="E957" s="4"/>
      <c r="G957" s="4"/>
    </row>
    <row r="958" ht="15.75" customHeight="1">
      <c r="A958" s="4"/>
      <c r="B958" s="4"/>
      <c r="D958" s="4"/>
      <c r="E958" s="4"/>
      <c r="G958" s="4"/>
    </row>
    <row r="959" ht="15.75" customHeight="1">
      <c r="A959" s="4"/>
      <c r="B959" s="4"/>
      <c r="D959" s="4"/>
      <c r="E959" s="4"/>
      <c r="G959" s="4"/>
    </row>
    <row r="960" ht="15.75" customHeight="1">
      <c r="A960" s="4"/>
      <c r="B960" s="4"/>
      <c r="D960" s="4"/>
      <c r="E960" s="4"/>
      <c r="G960" s="4"/>
    </row>
    <row r="961" ht="15.75" customHeight="1">
      <c r="A961" s="4"/>
      <c r="B961" s="4"/>
      <c r="D961" s="4"/>
      <c r="E961" s="4"/>
      <c r="G961" s="4"/>
    </row>
    <row r="962" ht="15.75" customHeight="1">
      <c r="A962" s="4"/>
      <c r="B962" s="4"/>
      <c r="D962" s="4"/>
      <c r="E962" s="4"/>
      <c r="G962" s="4"/>
    </row>
    <row r="963" ht="15.75" customHeight="1">
      <c r="A963" s="4"/>
      <c r="B963" s="4"/>
      <c r="D963" s="4"/>
      <c r="E963" s="4"/>
      <c r="G963" s="4"/>
    </row>
    <row r="964" ht="15.75" customHeight="1">
      <c r="A964" s="4"/>
      <c r="B964" s="4"/>
      <c r="D964" s="4"/>
      <c r="E964" s="4"/>
      <c r="G964" s="4"/>
    </row>
    <row r="965" ht="15.75" customHeight="1">
      <c r="A965" s="4"/>
      <c r="B965" s="4"/>
      <c r="D965" s="4"/>
      <c r="E965" s="4"/>
      <c r="G965" s="4"/>
    </row>
    <row r="966" ht="15.75" customHeight="1">
      <c r="A966" s="4"/>
      <c r="B966" s="4"/>
      <c r="D966" s="4"/>
      <c r="E966" s="4"/>
      <c r="G966" s="4"/>
    </row>
    <row r="967" ht="15.75" customHeight="1">
      <c r="A967" s="4"/>
      <c r="B967" s="4"/>
      <c r="D967" s="4"/>
      <c r="E967" s="4"/>
      <c r="G967" s="4"/>
    </row>
    <row r="968" ht="15.75" customHeight="1">
      <c r="A968" s="4"/>
      <c r="B968" s="4"/>
      <c r="D968" s="4"/>
      <c r="E968" s="4"/>
      <c r="G968" s="4"/>
    </row>
    <row r="969" ht="15.75" customHeight="1">
      <c r="A969" s="4"/>
      <c r="B969" s="4"/>
      <c r="D969" s="4"/>
      <c r="E969" s="4"/>
      <c r="G969" s="4"/>
    </row>
    <row r="970" ht="15.75" customHeight="1">
      <c r="A970" s="4"/>
      <c r="B970" s="4"/>
      <c r="D970" s="4"/>
      <c r="E970" s="4"/>
      <c r="G970" s="4"/>
    </row>
    <row r="971" ht="15.75" customHeight="1">
      <c r="A971" s="4"/>
      <c r="B971" s="4"/>
      <c r="D971" s="4"/>
      <c r="E971" s="4"/>
      <c r="G971" s="4"/>
    </row>
    <row r="972" ht="15.75" customHeight="1">
      <c r="A972" s="4"/>
      <c r="B972" s="4"/>
      <c r="D972" s="4"/>
      <c r="E972" s="4"/>
      <c r="G972" s="4"/>
    </row>
    <row r="973" ht="15.75" customHeight="1">
      <c r="A973" s="4"/>
      <c r="B973" s="4"/>
      <c r="D973" s="4"/>
      <c r="E973" s="4"/>
      <c r="G973" s="4"/>
    </row>
    <row r="974" ht="15.75" customHeight="1">
      <c r="A974" s="4"/>
      <c r="B974" s="4"/>
      <c r="D974" s="4"/>
      <c r="E974" s="4"/>
      <c r="G974" s="4"/>
    </row>
    <row r="975" ht="15.75" customHeight="1">
      <c r="A975" s="4"/>
      <c r="B975" s="4"/>
      <c r="D975" s="4"/>
      <c r="E975" s="4"/>
      <c r="G975" s="4"/>
    </row>
    <row r="976" ht="15.75" customHeight="1">
      <c r="A976" s="4"/>
      <c r="B976" s="4"/>
      <c r="D976" s="4"/>
      <c r="E976" s="4"/>
      <c r="G976" s="4"/>
    </row>
    <row r="977" ht="15.75" customHeight="1">
      <c r="A977" s="4"/>
      <c r="B977" s="4"/>
      <c r="D977" s="4"/>
      <c r="E977" s="4"/>
      <c r="G977" s="4"/>
    </row>
    <row r="978" ht="15.75" customHeight="1">
      <c r="A978" s="4"/>
      <c r="B978" s="4"/>
      <c r="D978" s="4"/>
      <c r="E978" s="4"/>
      <c r="G978" s="4"/>
    </row>
    <row r="979" ht="15.75" customHeight="1">
      <c r="A979" s="4"/>
      <c r="B979" s="4"/>
      <c r="D979" s="4"/>
      <c r="E979" s="4"/>
      <c r="G979" s="4"/>
    </row>
    <row r="980" ht="15.75" customHeight="1">
      <c r="A980" s="4"/>
      <c r="B980" s="4"/>
      <c r="D980" s="4"/>
      <c r="E980" s="4"/>
      <c r="G980" s="4"/>
    </row>
    <row r="981" ht="15.75" customHeight="1">
      <c r="A981" s="4"/>
      <c r="B981" s="4"/>
      <c r="D981" s="4"/>
      <c r="E981" s="4"/>
      <c r="G981" s="4"/>
    </row>
    <row r="982" ht="15.75" customHeight="1">
      <c r="A982" s="4"/>
      <c r="B982" s="4"/>
      <c r="D982" s="4"/>
      <c r="E982" s="4"/>
      <c r="G982" s="4"/>
    </row>
    <row r="983" ht="15.75" customHeight="1">
      <c r="A983" s="4"/>
      <c r="B983" s="4"/>
      <c r="D983" s="4"/>
      <c r="E983" s="4"/>
      <c r="G983" s="4"/>
    </row>
    <row r="984" ht="15.75" customHeight="1">
      <c r="A984" s="4"/>
      <c r="B984" s="4"/>
      <c r="D984" s="4"/>
      <c r="E984" s="4"/>
      <c r="G984" s="4"/>
    </row>
    <row r="985" ht="15.75" customHeight="1">
      <c r="A985" s="4"/>
      <c r="B985" s="4"/>
      <c r="D985" s="4"/>
      <c r="E985" s="4"/>
      <c r="G985" s="4"/>
    </row>
    <row r="986" ht="15.75" customHeight="1">
      <c r="A986" s="4"/>
      <c r="B986" s="4"/>
      <c r="D986" s="4"/>
      <c r="E986" s="4"/>
      <c r="G986" s="4"/>
    </row>
    <row r="987" ht="15.75" customHeight="1">
      <c r="A987" s="4"/>
      <c r="B987" s="4"/>
      <c r="D987" s="4"/>
      <c r="E987" s="4"/>
      <c r="G987" s="4"/>
    </row>
    <row r="988" ht="15.75" customHeight="1">
      <c r="A988" s="4"/>
      <c r="B988" s="4"/>
      <c r="D988" s="4"/>
      <c r="E988" s="4"/>
      <c r="G988" s="4"/>
    </row>
    <row r="989" ht="15.75" customHeight="1">
      <c r="A989" s="4"/>
      <c r="B989" s="4"/>
      <c r="D989" s="4"/>
      <c r="E989" s="4"/>
      <c r="G989" s="4"/>
    </row>
    <row r="990" ht="15.75" customHeight="1">
      <c r="A990" s="4"/>
      <c r="B990" s="4"/>
      <c r="D990" s="4"/>
      <c r="E990" s="4"/>
      <c r="G990" s="4"/>
    </row>
    <row r="991" ht="15.75" customHeight="1">
      <c r="A991" s="4"/>
      <c r="B991" s="4"/>
      <c r="D991" s="4"/>
      <c r="E991" s="4"/>
      <c r="G991" s="4"/>
    </row>
    <row r="992" ht="15.75" customHeight="1">
      <c r="A992" s="4"/>
      <c r="B992" s="4"/>
      <c r="D992" s="4"/>
      <c r="E992" s="4"/>
      <c r="G992" s="4"/>
    </row>
    <row r="993" ht="15.75" customHeight="1">
      <c r="A993" s="4"/>
      <c r="B993" s="4"/>
      <c r="D993" s="4"/>
      <c r="E993" s="4"/>
      <c r="G993" s="4"/>
    </row>
    <row r="994" ht="15.75" customHeight="1">
      <c r="A994" s="4"/>
      <c r="B994" s="4"/>
      <c r="D994" s="4"/>
      <c r="E994" s="4"/>
      <c r="G994" s="4"/>
    </row>
    <row r="995" ht="15.75" customHeight="1">
      <c r="A995" s="4"/>
      <c r="B995" s="4"/>
      <c r="D995" s="4"/>
      <c r="E995" s="4"/>
      <c r="G995" s="4"/>
    </row>
    <row r="996" ht="15.75" customHeight="1">
      <c r="A996" s="4"/>
      <c r="B996" s="4"/>
      <c r="D996" s="4"/>
      <c r="E996" s="4"/>
      <c r="G996" s="4"/>
    </row>
    <row r="997" ht="15.75" customHeight="1">
      <c r="A997" s="4"/>
      <c r="B997" s="4"/>
      <c r="D997" s="4"/>
      <c r="E997" s="4"/>
      <c r="G997" s="4"/>
    </row>
    <row r="998" ht="15.75" customHeight="1">
      <c r="A998" s="4"/>
      <c r="B998" s="4"/>
      <c r="D998" s="4"/>
      <c r="E998" s="4"/>
      <c r="G998" s="4"/>
    </row>
    <row r="999" ht="15.75" customHeight="1">
      <c r="A999" s="4"/>
      <c r="B999" s="4"/>
      <c r="D999" s="4"/>
      <c r="E999" s="4"/>
      <c r="G999" s="4"/>
    </row>
    <row r="1000" ht="15.75" customHeight="1">
      <c r="A1000" s="4"/>
      <c r="B1000" s="4"/>
      <c r="D1000" s="4"/>
      <c r="E1000" s="4"/>
      <c r="G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2026-01-13T12:19:54Z</dcterms:created>
  <dc:creator>openpyxl</dc:creator>
</cp:coreProperties>
</file>